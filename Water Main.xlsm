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420"/>
  </bookViews>
  <sheets>
    <sheet name="PRINT" sheetId="1" r:id="rId1"/>
    <sheet name="ENTER DATA HERE" sheetId="2" r:id="rId2"/>
  </sheets>
  <definedNames>
    <definedName name="EIGHT">PRINT!$E$39:$N$40,PRINT!$B$194:$N$195</definedName>
    <definedName name="FOUR">PRINT!$B$188:$N$189,PRINT!$E$33:$N$34</definedName>
    <definedName name="FOURTEEN">PRINT!$B$48:$N$50,PRINT!$B$203:$N$205</definedName>
    <definedName name="PartsUsed">PRINT!$J$62:$J$181</definedName>
    <definedName name="PipesUsed">PRINT!$G$9:$G$16</definedName>
    <definedName name="_xlnm.Print_Area" localSheetId="0">PRINT!$A$1:$S$233</definedName>
    <definedName name="SIX">PRINT!$E$36:$N$37,PRINT!$B$191:$N$192</definedName>
    <definedName name="SIXTEEN">PRINT!$B$206:$N$208,PRINT!$B$51:$K$53</definedName>
    <definedName name="TEN">PRINT!$E$42:$N$43,PRINT!$B$197:$N$198</definedName>
    <definedName name="TWELVE">PRINT!$E$45:$N$46,PRINT!$B$200:$N$201</definedName>
    <definedName name="TWO">PRINT!$D$30:$N$31,PRINT!$B$185:$L$186</definedName>
  </definedNames>
  <calcPr calcId="145621"/>
</workbook>
</file>

<file path=xl/calcChain.xml><?xml version="1.0" encoding="utf-8"?>
<calcChain xmlns="http://schemas.openxmlformats.org/spreadsheetml/2006/main">
  <c r="L22" i="1" l="1"/>
  <c r="M16" i="1"/>
  <c r="M15" i="1"/>
  <c r="M14" i="1"/>
  <c r="M13" i="1"/>
  <c r="M12" i="1"/>
  <c r="M11" i="1"/>
  <c r="M10" i="1"/>
  <c r="M9" i="1"/>
  <c r="C215" i="1"/>
  <c r="C216" i="1"/>
  <c r="M200" i="1" l="1"/>
  <c r="M48" i="1"/>
  <c r="M45" i="1"/>
  <c r="M39" i="1"/>
  <c r="E206" i="1"/>
  <c r="E203" i="1"/>
  <c r="E194" i="1"/>
  <c r="E188" i="1"/>
  <c r="E185" i="1"/>
  <c r="I51" i="1"/>
  <c r="I48" i="1"/>
  <c r="I39" i="1"/>
  <c r="I33" i="1"/>
  <c r="I30" i="1"/>
  <c r="F20" i="2"/>
  <c r="F21" i="2"/>
  <c r="F22" i="2"/>
  <c r="F23" i="2"/>
  <c r="F24" i="2"/>
  <c r="F25" i="2"/>
  <c r="F26" i="2"/>
  <c r="F19" i="2"/>
  <c r="A231" i="1"/>
  <c r="F216" i="1"/>
  <c r="F215" i="1"/>
  <c r="E200" i="1"/>
  <c r="E197" i="1"/>
  <c r="E191" i="1"/>
  <c r="Z32" i="2"/>
  <c r="AA32" i="2"/>
  <c r="AB32" i="2"/>
  <c r="AC32" i="2"/>
  <c r="AD32" i="2"/>
  <c r="AE32" i="2"/>
  <c r="AF32" i="2"/>
  <c r="AG32" i="2"/>
  <c r="Z33" i="2"/>
  <c r="AA33" i="2"/>
  <c r="AB33" i="2"/>
  <c r="AC33" i="2"/>
  <c r="AD33" i="2"/>
  <c r="AE33" i="2"/>
  <c r="AF33" i="2"/>
  <c r="AG33" i="2"/>
  <c r="Z34" i="2"/>
  <c r="AA34" i="2"/>
  <c r="AB34" i="2"/>
  <c r="AC34" i="2"/>
  <c r="AD34" i="2"/>
  <c r="AE34" i="2"/>
  <c r="AF34" i="2"/>
  <c r="AG34" i="2"/>
  <c r="Z35" i="2"/>
  <c r="AA35" i="2"/>
  <c r="AB35" i="2"/>
  <c r="AC35" i="2"/>
  <c r="AD35" i="2"/>
  <c r="AE35" i="2"/>
  <c r="AF35" i="2"/>
  <c r="AG35" i="2"/>
  <c r="Z36" i="2"/>
  <c r="AA36" i="2"/>
  <c r="AB36" i="2"/>
  <c r="AC36" i="2"/>
  <c r="AD36" i="2"/>
  <c r="AE36" i="2"/>
  <c r="AF36" i="2"/>
  <c r="AG36" i="2"/>
  <c r="Z37" i="2"/>
  <c r="AA37" i="2"/>
  <c r="AB37" i="2"/>
  <c r="AC37" i="2"/>
  <c r="AD37" i="2"/>
  <c r="AE37" i="2"/>
  <c r="AF37" i="2"/>
  <c r="AG37" i="2"/>
  <c r="Z38" i="2"/>
  <c r="AA38" i="2"/>
  <c r="AB38" i="2"/>
  <c r="AC38" i="2"/>
  <c r="AD38" i="2"/>
  <c r="AE38" i="2"/>
  <c r="Z39" i="2"/>
  <c r="AA39" i="2"/>
  <c r="AB39" i="2"/>
  <c r="AC39" i="2"/>
  <c r="AD39" i="2"/>
  <c r="AE39" i="2"/>
  <c r="AF39" i="2"/>
  <c r="AG39" i="2"/>
  <c r="Z40" i="2"/>
  <c r="AA40" i="2"/>
  <c r="AB40" i="2"/>
  <c r="AC40" i="2"/>
  <c r="AD40" i="2"/>
  <c r="AE40" i="2"/>
  <c r="AF40" i="2"/>
  <c r="AG40" i="2"/>
  <c r="Z41" i="2"/>
  <c r="AA41" i="2"/>
  <c r="AB41" i="2"/>
  <c r="AC41" i="2"/>
  <c r="AD41" i="2"/>
  <c r="AE41" i="2"/>
  <c r="Z42" i="2"/>
  <c r="AA42" i="2"/>
  <c r="Z43" i="2"/>
  <c r="AA43" i="2"/>
  <c r="AB43" i="2"/>
  <c r="AC43" i="2"/>
  <c r="AD43" i="2"/>
  <c r="AE43" i="2"/>
  <c r="AF43" i="2"/>
  <c r="AG43" i="2"/>
  <c r="Z44" i="2"/>
  <c r="AA44" i="2"/>
  <c r="AB44" i="2"/>
  <c r="AC44" i="2"/>
  <c r="AD44" i="2"/>
  <c r="AE44" i="2"/>
  <c r="AF44" i="2"/>
  <c r="AG44" i="2"/>
  <c r="Z45" i="2"/>
  <c r="AA45" i="2"/>
  <c r="AB45" i="2"/>
  <c r="AC45" i="2"/>
  <c r="AD45" i="2"/>
  <c r="AE45" i="2"/>
  <c r="AF45" i="2"/>
  <c r="AG45" i="2"/>
  <c r="AA31" i="2"/>
  <c r="AB31" i="2"/>
  <c r="AC31" i="2"/>
  <c r="AD31" i="2"/>
  <c r="AE31" i="2"/>
  <c r="AE46" i="2" s="1"/>
  <c r="AF31" i="2"/>
  <c r="AF46" i="2" s="1"/>
  <c r="AG31" i="2"/>
  <c r="Z31" i="2"/>
  <c r="Z46" i="2" s="1"/>
  <c r="J168" i="1"/>
  <c r="K168" i="1" s="1"/>
  <c r="J169" i="1"/>
  <c r="K169" i="1" s="1"/>
  <c r="J170" i="1"/>
  <c r="K170" i="1" s="1"/>
  <c r="J171" i="1"/>
  <c r="K171" i="1" s="1"/>
  <c r="J172" i="1"/>
  <c r="K172" i="1" s="1"/>
  <c r="J173" i="1"/>
  <c r="K173" i="1" s="1"/>
  <c r="J174" i="1"/>
  <c r="J175" i="1"/>
  <c r="K175" i="1" s="1"/>
  <c r="J176" i="1"/>
  <c r="K176" i="1" s="1"/>
  <c r="J177" i="1"/>
  <c r="J178" i="1"/>
  <c r="J179" i="1"/>
  <c r="K179" i="1" s="1"/>
  <c r="J180" i="1"/>
  <c r="K180" i="1" s="1"/>
  <c r="J181" i="1"/>
  <c r="K181" i="1" s="1"/>
  <c r="J167" i="1"/>
  <c r="K167" i="1" s="1"/>
  <c r="J153" i="1"/>
  <c r="K153" i="1" s="1"/>
  <c r="J154" i="1"/>
  <c r="K154" i="1" s="1"/>
  <c r="J155" i="1"/>
  <c r="K155" i="1" s="1"/>
  <c r="J156" i="1"/>
  <c r="K156" i="1" s="1"/>
  <c r="J157" i="1"/>
  <c r="K157" i="1" s="1"/>
  <c r="J158" i="1"/>
  <c r="K158" i="1" s="1"/>
  <c r="J159" i="1"/>
  <c r="J160" i="1"/>
  <c r="K160" i="1" s="1"/>
  <c r="J161" i="1"/>
  <c r="K161" i="1" s="1"/>
  <c r="J162" i="1"/>
  <c r="J163" i="1"/>
  <c r="J164" i="1"/>
  <c r="K164" i="1" s="1"/>
  <c r="J165" i="1"/>
  <c r="K165" i="1" s="1"/>
  <c r="J166" i="1"/>
  <c r="K166" i="1" s="1"/>
  <c r="J152" i="1"/>
  <c r="K152" i="1" s="1"/>
  <c r="J138" i="1"/>
  <c r="K138" i="1" s="1"/>
  <c r="J139" i="1"/>
  <c r="K139" i="1" s="1"/>
  <c r="J140" i="1"/>
  <c r="K140" i="1" s="1"/>
  <c r="J141" i="1"/>
  <c r="K141" i="1" s="1"/>
  <c r="J142" i="1"/>
  <c r="K142" i="1" s="1"/>
  <c r="J143" i="1"/>
  <c r="K143" i="1" s="1"/>
  <c r="J144" i="1"/>
  <c r="K144" i="1" s="1"/>
  <c r="J145" i="1"/>
  <c r="K145" i="1" s="1"/>
  <c r="J146" i="1"/>
  <c r="K146" i="1" s="1"/>
  <c r="J147" i="1"/>
  <c r="K147" i="1" s="1"/>
  <c r="J148" i="1"/>
  <c r="J149" i="1"/>
  <c r="K149" i="1" s="1"/>
  <c r="J150" i="1"/>
  <c r="K150" i="1" s="1"/>
  <c r="J151" i="1"/>
  <c r="K151" i="1" s="1"/>
  <c r="J137" i="1"/>
  <c r="K137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K131" i="1" s="1"/>
  <c r="J132" i="1"/>
  <c r="K132" i="1" s="1"/>
  <c r="J133" i="1"/>
  <c r="J134" i="1"/>
  <c r="K134" i="1" s="1"/>
  <c r="J135" i="1"/>
  <c r="K135" i="1" s="1"/>
  <c r="J136" i="1"/>
  <c r="K136" i="1" s="1"/>
  <c r="J122" i="1"/>
  <c r="K122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J119" i="1"/>
  <c r="K119" i="1" s="1"/>
  <c r="J120" i="1"/>
  <c r="K120" i="1" s="1"/>
  <c r="J121" i="1"/>
  <c r="K121" i="1" s="1"/>
  <c r="J107" i="1"/>
  <c r="K107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J104" i="1"/>
  <c r="K104" i="1" s="1"/>
  <c r="J105" i="1"/>
  <c r="K105" i="1" s="1"/>
  <c r="J106" i="1"/>
  <c r="K106" i="1" s="1"/>
  <c r="J92" i="1"/>
  <c r="K92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77" i="1"/>
  <c r="K77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J74" i="1"/>
  <c r="K74" i="1" s="1"/>
  <c r="J75" i="1"/>
  <c r="K75" i="1" s="1"/>
  <c r="J76" i="1"/>
  <c r="K76" i="1" s="1"/>
  <c r="J62" i="1"/>
  <c r="K62" i="1" s="1"/>
  <c r="I45" i="1"/>
  <c r="I42" i="1"/>
  <c r="I36" i="1"/>
  <c r="I21" i="2"/>
  <c r="I22" i="2"/>
  <c r="I23" i="2"/>
  <c r="I24" i="2"/>
  <c r="I25" i="2"/>
  <c r="I26" i="2"/>
  <c r="I20" i="2"/>
  <c r="I19" i="2"/>
  <c r="M203" i="1" l="1"/>
  <c r="M185" i="1"/>
  <c r="AA46" i="2"/>
  <c r="AG46" i="2"/>
  <c r="AD46" i="2"/>
  <c r="AB46" i="2"/>
  <c r="AC46" i="2"/>
  <c r="M194" i="1" s="1"/>
  <c r="F217" i="1"/>
  <c r="G223" i="1" s="1"/>
  <c r="A20" i="1"/>
  <c r="H1" i="1"/>
  <c r="H3" i="1"/>
  <c r="M26" i="1"/>
  <c r="G10" i="1"/>
  <c r="M33" i="1" s="1"/>
  <c r="G11" i="1"/>
  <c r="M36" i="1" s="1"/>
  <c r="G12" i="1"/>
  <c r="G13" i="1"/>
  <c r="M42" i="1" s="1"/>
  <c r="G14" i="1"/>
  <c r="G15" i="1"/>
  <c r="G16" i="1"/>
  <c r="M51" i="1" s="1"/>
  <c r="G9" i="1"/>
  <c r="M30" i="1" s="1"/>
  <c r="M188" i="1" l="1"/>
  <c r="M206" i="1"/>
  <c r="M197" i="1"/>
  <c r="M191" i="1"/>
  <c r="M54" i="1"/>
  <c r="G221" i="1" s="1"/>
  <c r="G18" i="1"/>
  <c r="M209" i="1" l="1"/>
  <c r="G222" i="1" s="1"/>
  <c r="G224" i="1" s="1"/>
  <c r="C229" i="1" s="1"/>
  <c r="F229" i="1" s="1"/>
  <c r="M233" i="1" s="1"/>
</calcChain>
</file>

<file path=xl/sharedStrings.xml><?xml version="1.0" encoding="utf-8"?>
<sst xmlns="http://schemas.openxmlformats.org/spreadsheetml/2006/main" count="645" uniqueCount="145">
  <si>
    <t>FLOW TEST RESULTS =</t>
  </si>
  <si>
    <t>gpm</t>
  </si>
  <si>
    <t>RESIDUAL PRESSURE =</t>
  </si>
  <si>
    <t>psi</t>
  </si>
  <si>
    <t xml:space="preserve">ELEV OF FLOWING HYDRANT = </t>
  </si>
  <si>
    <t>ft</t>
  </si>
  <si>
    <t>STATIC PRESURE =</t>
  </si>
  <si>
    <t xml:space="preserve">ELEV OF CRITICAL HYDRANT = </t>
  </si>
  <si>
    <t>DIAMETER OF EXISTING PIPE =</t>
  </si>
  <si>
    <t>in</t>
  </si>
  <si>
    <t>LENGTH OF   2-INCH WATER MAIN =</t>
  </si>
  <si>
    <t>EQ. LENGTH OF   2-INCH FITTINGS =</t>
  </si>
  <si>
    <t>LENGTH OF   4-INCH WATER MAIN =</t>
  </si>
  <si>
    <t>EQ. LENGTH OF   4-INCH FITTINGS =</t>
  </si>
  <si>
    <t>LENGTH OF   6-INCH WATER MAIN =</t>
  </si>
  <si>
    <t>EQ. LENGTH OF   6-INCH FITTINGS =</t>
  </si>
  <si>
    <t>LENGTH OF   8-INCH WATER MAIN =</t>
  </si>
  <si>
    <t>EQ. LENGTH OF   8-INCH FITTINGS =</t>
  </si>
  <si>
    <t>LENGTH OF 10-INCH WATER MAIN =</t>
  </si>
  <si>
    <t>EQ. LENGTH OF 10-INCH FITTINGS =</t>
  </si>
  <si>
    <t>LENGTH OF 12-INCH WATER MAIN =</t>
  </si>
  <si>
    <t>EQ. LENGTH OF 12-INCH FITTINGS =</t>
  </si>
  <si>
    <t>LENGTH OF 14-INCH WATER MAIN =</t>
  </si>
  <si>
    <t>EQ. LENGTH OF 14-INCH FITTINGS =</t>
  </si>
  <si>
    <t>LENGTH OF 16-INCH WATER MAIN =</t>
  </si>
  <si>
    <t>EQ. LENGTH OF 16-INCH FITTINGS =</t>
  </si>
  <si>
    <t>DISTANCE FROM FLOWING HYD TO CRITICAL HYD =</t>
  </si>
  <si>
    <r>
      <t>P</t>
    </r>
    <r>
      <rPr>
        <u/>
        <vertAlign val="subscript"/>
        <sz val="12"/>
        <rFont val="Arial"/>
        <family val="2"/>
      </rPr>
      <t>1</t>
    </r>
    <r>
      <rPr>
        <u/>
        <sz val="12"/>
        <rFont val="Arial"/>
        <family val="2"/>
      </rPr>
      <t xml:space="preserve"> psi (144 in</t>
    </r>
    <r>
      <rPr>
        <u/>
        <vertAlign val="superscript"/>
        <sz val="12"/>
        <rFont val="Arial"/>
        <family val="2"/>
      </rPr>
      <t>2</t>
    </r>
    <r>
      <rPr>
        <u/>
        <sz val="12"/>
        <rFont val="Arial"/>
        <family val="2"/>
      </rPr>
      <t>/ft</t>
    </r>
    <r>
      <rPr>
        <u/>
        <vertAlign val="superscript"/>
        <sz val="12"/>
        <rFont val="Arial"/>
        <family val="2"/>
      </rPr>
      <t>2</t>
    </r>
    <r>
      <rPr>
        <u/>
        <sz val="12"/>
        <rFont val="Arial"/>
        <family val="2"/>
      </rPr>
      <t>)</t>
    </r>
  </si>
  <si>
    <t>+</t>
  </si>
  <si>
    <t>(</t>
  </si>
  <si>
    <t>(FLOW gpm x 0.002228)</t>
  </si>
  <si>
    <r>
      <t>)</t>
    </r>
    <r>
      <rPr>
        <vertAlign val="superscript"/>
        <sz val="18"/>
        <color theme="1"/>
        <rFont val="Calibri"/>
        <family val="2"/>
        <scheme val="minor"/>
      </rPr>
      <t>2</t>
    </r>
  </si>
  <si>
    <t>=</t>
  </si>
  <si>
    <r>
      <t>P</t>
    </r>
    <r>
      <rPr>
        <u/>
        <vertAlign val="subscript"/>
        <sz val="12"/>
        <rFont val="Arial"/>
        <family val="2"/>
      </rPr>
      <t>2</t>
    </r>
    <r>
      <rPr>
        <u/>
        <sz val="12"/>
        <rFont val="Arial"/>
        <family val="2"/>
      </rPr>
      <t xml:space="preserve"> psi (144 in</t>
    </r>
    <r>
      <rPr>
        <u/>
        <vertAlign val="superscript"/>
        <sz val="12"/>
        <rFont val="Arial"/>
        <family val="2"/>
      </rPr>
      <t>2</t>
    </r>
    <r>
      <rPr>
        <u/>
        <sz val="12"/>
        <rFont val="Arial"/>
        <family val="2"/>
      </rPr>
      <t>/ft</t>
    </r>
    <r>
      <rPr>
        <u/>
        <vertAlign val="superscript"/>
        <sz val="12"/>
        <rFont val="Arial"/>
        <family val="2"/>
      </rPr>
      <t>2</t>
    </r>
    <r>
      <rPr>
        <u/>
        <sz val="12"/>
        <rFont val="Arial"/>
        <family val="2"/>
      </rPr>
      <t>)</t>
    </r>
  </si>
  <si>
    <r>
      <t>62.4 lb/ft</t>
    </r>
    <r>
      <rPr>
        <vertAlign val="superscript"/>
        <sz val="12"/>
        <rFont val="Arial"/>
        <family val="2"/>
      </rPr>
      <t>3</t>
    </r>
  </si>
  <si>
    <r>
      <t>2 (32.2</t>
    </r>
    <r>
      <rPr>
        <vertAlign val="superscript"/>
        <sz val="12"/>
        <rFont val="Arial"/>
        <family val="2"/>
      </rPr>
      <t>ft</t>
    </r>
    <r>
      <rPr>
        <sz val="12"/>
        <rFont val="Arial"/>
        <family val="2"/>
      </rPr>
      <t>/</t>
    </r>
    <r>
      <rPr>
        <vertAlign val="subscript"/>
        <sz val="12"/>
        <rFont val="Arial"/>
        <family val="2"/>
      </rPr>
      <t>sec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)</t>
    </r>
  </si>
  <si>
    <t>Water Main</t>
  </si>
  <si>
    <t>PVC</t>
  </si>
  <si>
    <t>2 in</t>
  </si>
  <si>
    <t>4 in</t>
  </si>
  <si>
    <t>6 In</t>
  </si>
  <si>
    <t>8 in</t>
  </si>
  <si>
    <t>10 in</t>
  </si>
  <si>
    <t>12 in</t>
  </si>
  <si>
    <t>14 in</t>
  </si>
  <si>
    <t>16 in</t>
  </si>
  <si>
    <t>Iron</t>
  </si>
  <si>
    <t>Steel</t>
  </si>
  <si>
    <t>Lengths of Pipe</t>
  </si>
  <si>
    <t>Project Name</t>
  </si>
  <si>
    <t>Hydrant Number</t>
  </si>
  <si>
    <t>Location of Flowing Hydrant</t>
  </si>
  <si>
    <t>S Knights Place between E Groveland Pl and E Puetz Rd</t>
  </si>
  <si>
    <t>FLOW TEST RESULTS</t>
  </si>
  <si>
    <t>ELEV OF FLOWING HYDRANT</t>
  </si>
  <si>
    <t>ELEV OF CRITICAL HYDRANT</t>
  </si>
  <si>
    <t>RESIDUAL PRESSURE</t>
  </si>
  <si>
    <t>STATIC PRESURE</t>
  </si>
  <si>
    <t>DIAMETER OF EXISTING PIPE</t>
  </si>
  <si>
    <t>FLOW TEST DATA</t>
  </si>
  <si>
    <t>Benchmark Pressure (GPM)</t>
  </si>
  <si>
    <t>OAK CREEK SECONDARY SCHOOL</t>
  </si>
  <si>
    <r>
      <t>1/4 x 3.14 x(</t>
    </r>
    <r>
      <rPr>
        <u/>
        <vertAlign val="superscript"/>
        <sz val="12"/>
        <rFont val="Arial"/>
        <family val="2"/>
      </rPr>
      <t>D</t>
    </r>
    <r>
      <rPr>
        <u/>
        <sz val="12"/>
        <rFont val="Arial"/>
        <family val="2"/>
      </rPr>
      <t>/</t>
    </r>
    <r>
      <rPr>
        <u/>
        <vertAlign val="subscript"/>
        <sz val="12"/>
        <rFont val="Arial"/>
        <family val="2"/>
      </rPr>
      <t>12</t>
    </r>
    <r>
      <rPr>
        <u/>
        <sz val="12"/>
        <rFont val="Arial"/>
        <family val="2"/>
      </rPr>
      <t>)</t>
    </r>
    <r>
      <rPr>
        <u/>
        <vertAlign val="superscript"/>
        <sz val="12"/>
        <rFont val="Arial"/>
        <family val="2"/>
      </rPr>
      <t>2</t>
    </r>
  </si>
  <si>
    <t>STEP 2: CALCULATE HEAD LOSS DUE TO FRICTION</t>
  </si>
  <si>
    <t>h=</t>
  </si>
  <si>
    <t>Roughness Constant (c) Weighted Average</t>
  </si>
  <si>
    <t>SCHEDULE OF FITTINGS</t>
  </si>
  <si>
    <t>Schedule of Fittings</t>
  </si>
  <si>
    <t>Fittings</t>
  </si>
  <si>
    <t>Regular 90⁰ Ellbow</t>
  </si>
  <si>
    <t>Long Rad. 90⁰ Ellbow</t>
  </si>
  <si>
    <t>Regular 45⁰ Ellbow</t>
  </si>
  <si>
    <t>Tee - Line Flow</t>
  </si>
  <si>
    <t>Tee - Branch Flow</t>
  </si>
  <si>
    <t>Globe Valve</t>
  </si>
  <si>
    <t>Gate Valve</t>
  </si>
  <si>
    <t>Agnle Valve</t>
  </si>
  <si>
    <t>Swing Check Valve</t>
  </si>
  <si>
    <t>Coupleing or Union</t>
  </si>
  <si>
    <t>Bell Mouth Inlet</t>
  </si>
  <si>
    <t>Square Mouth Inlet</t>
  </si>
  <si>
    <t>Equivilent Lengths</t>
  </si>
  <si>
    <t>180⁰ Return Bend - Reg</t>
  </si>
  <si>
    <t>180⁰ Return Bend -Long Rad</t>
  </si>
  <si>
    <t>Re-Entrant Inlet</t>
  </si>
  <si>
    <t>NA</t>
  </si>
  <si>
    <t>FITTING TYPE</t>
  </si>
  <si>
    <t>SIZE</t>
  </si>
  <si>
    <t>6"</t>
  </si>
  <si>
    <t>COUNT</t>
  </si>
  <si>
    <t>EQUIVILENT LENGTH</t>
  </si>
  <si>
    <t>2"</t>
  </si>
  <si>
    <t>4"</t>
  </si>
  <si>
    <t>8"</t>
  </si>
  <si>
    <t>10"</t>
  </si>
  <si>
    <t>12"</t>
  </si>
  <si>
    <t>14"</t>
  </si>
  <si>
    <t>16"</t>
  </si>
  <si>
    <t>Total Equivilent Lengths</t>
  </si>
  <si>
    <t>Total</t>
  </si>
  <si>
    <t>6-INCH FITTINGS</t>
  </si>
  <si>
    <t>10-INCH FITTINGS</t>
  </si>
  <si>
    <t>12-INCH FITTINGS</t>
  </si>
  <si>
    <r>
      <t>c</t>
    </r>
    <r>
      <rPr>
        <vertAlign val="subscript"/>
        <sz val="12"/>
        <rFont val="Arial"/>
        <family val="2"/>
      </rPr>
      <t>ave</t>
    </r>
    <r>
      <rPr>
        <vertAlign val="superscript"/>
        <sz val="12"/>
        <rFont val="Arial"/>
        <family val="2"/>
      </rPr>
      <t>1.85</t>
    </r>
    <r>
      <rPr>
        <sz val="12"/>
        <rFont val="Arial"/>
        <family val="2"/>
      </rPr>
      <t xml:space="preserve"> x (6)</t>
    </r>
    <r>
      <rPr>
        <vertAlign val="superscript"/>
        <sz val="12"/>
        <rFont val="Arial"/>
        <family val="2"/>
      </rPr>
      <t>4.8655</t>
    </r>
  </si>
  <si>
    <r>
      <t>c</t>
    </r>
    <r>
      <rPr>
        <vertAlign val="subscript"/>
        <sz val="12"/>
        <rFont val="Arial"/>
        <family val="2"/>
      </rPr>
      <t>ave</t>
    </r>
    <r>
      <rPr>
        <vertAlign val="superscript"/>
        <sz val="12"/>
        <rFont val="Arial"/>
        <family val="2"/>
      </rPr>
      <t>1.85</t>
    </r>
    <r>
      <rPr>
        <sz val="12"/>
        <rFont val="Arial"/>
        <family val="2"/>
      </rPr>
      <t xml:space="preserve"> x (10)</t>
    </r>
    <r>
      <rPr>
        <vertAlign val="superscript"/>
        <sz val="12"/>
        <rFont val="Arial"/>
        <family val="2"/>
      </rPr>
      <t>4.8655</t>
    </r>
  </si>
  <si>
    <r>
      <t>c</t>
    </r>
    <r>
      <rPr>
        <vertAlign val="subscript"/>
        <sz val="12"/>
        <rFont val="Arial"/>
        <family val="2"/>
      </rPr>
      <t>ave</t>
    </r>
    <r>
      <rPr>
        <vertAlign val="superscript"/>
        <sz val="12"/>
        <rFont val="Arial"/>
        <family val="2"/>
      </rPr>
      <t>1.85</t>
    </r>
    <r>
      <rPr>
        <sz val="12"/>
        <rFont val="Arial"/>
        <family val="2"/>
      </rPr>
      <t xml:space="preserve"> x (12)</t>
    </r>
    <r>
      <rPr>
        <vertAlign val="superscript"/>
        <sz val="12"/>
        <rFont val="Arial"/>
        <family val="2"/>
      </rPr>
      <t>4.8655</t>
    </r>
  </si>
  <si>
    <t>STEP 3: CALCULATE HEAD LOSS DUE TO FITTINGS</t>
  </si>
  <si>
    <t>STEP 4: CALCULATE HEAD LOSS DUE TO ELEVATION</t>
  </si>
  <si>
    <t xml:space="preserve"> feet</t>
  </si>
  <si>
    <t>STEP 5: TOTAL LOSSES</t>
  </si>
  <si>
    <t>Total Frictional Head Loss =</t>
  </si>
  <si>
    <t>Total Fittings Head Loss =</t>
  </si>
  <si>
    <t>Total Elevation Head Loss =</t>
  </si>
  <si>
    <t>Total Head Losses =</t>
  </si>
  <si>
    <t>STEP 6: CONVERT HEAD LOSS TO PRESSURE DROP</t>
  </si>
  <si>
    <t>2-INCH FITTINGS</t>
  </si>
  <si>
    <t>4-INCH FITTINGS</t>
  </si>
  <si>
    <t>8-INCH FITTINGS</t>
  </si>
  <si>
    <t>14-INCH FITTINGS</t>
  </si>
  <si>
    <t>16-INCH FITTINGS</t>
  </si>
  <si>
    <r>
      <t>c</t>
    </r>
    <r>
      <rPr>
        <vertAlign val="subscript"/>
        <sz val="12"/>
        <rFont val="Arial"/>
        <family val="2"/>
      </rPr>
      <t>ave</t>
    </r>
    <r>
      <rPr>
        <vertAlign val="superscript"/>
        <sz val="12"/>
        <rFont val="Arial"/>
        <family val="2"/>
      </rPr>
      <t>1.85</t>
    </r>
    <r>
      <rPr>
        <sz val="12"/>
        <rFont val="Arial"/>
        <family val="2"/>
      </rPr>
      <t xml:space="preserve"> x (2)</t>
    </r>
    <r>
      <rPr>
        <vertAlign val="superscript"/>
        <sz val="12"/>
        <rFont val="Arial"/>
        <family val="2"/>
      </rPr>
      <t>4.8655</t>
    </r>
  </si>
  <si>
    <r>
      <t>c</t>
    </r>
    <r>
      <rPr>
        <vertAlign val="subscript"/>
        <sz val="12"/>
        <rFont val="Arial"/>
        <family val="2"/>
      </rPr>
      <t>ave</t>
    </r>
    <r>
      <rPr>
        <vertAlign val="superscript"/>
        <sz val="12"/>
        <rFont val="Arial"/>
        <family val="2"/>
      </rPr>
      <t>1.85</t>
    </r>
    <r>
      <rPr>
        <sz val="12"/>
        <rFont val="Arial"/>
        <family val="2"/>
      </rPr>
      <t xml:space="preserve"> x (4)</t>
    </r>
    <r>
      <rPr>
        <vertAlign val="superscript"/>
        <sz val="12"/>
        <rFont val="Arial"/>
        <family val="2"/>
      </rPr>
      <t>4.8655</t>
    </r>
  </si>
  <si>
    <r>
      <t>c</t>
    </r>
    <r>
      <rPr>
        <vertAlign val="subscript"/>
        <sz val="12"/>
        <rFont val="Arial"/>
        <family val="2"/>
      </rPr>
      <t>ave</t>
    </r>
    <r>
      <rPr>
        <vertAlign val="superscript"/>
        <sz val="12"/>
        <rFont val="Arial"/>
        <family val="2"/>
      </rPr>
      <t>1.85</t>
    </r>
    <r>
      <rPr>
        <sz val="12"/>
        <rFont val="Arial"/>
        <family val="2"/>
      </rPr>
      <t xml:space="preserve"> x (8)</t>
    </r>
    <r>
      <rPr>
        <vertAlign val="superscript"/>
        <sz val="12"/>
        <rFont val="Arial"/>
        <family val="2"/>
      </rPr>
      <t>4.8655</t>
    </r>
  </si>
  <si>
    <r>
      <t>c</t>
    </r>
    <r>
      <rPr>
        <vertAlign val="subscript"/>
        <sz val="12"/>
        <rFont val="Arial"/>
        <family val="2"/>
      </rPr>
      <t>ave</t>
    </r>
    <r>
      <rPr>
        <vertAlign val="superscript"/>
        <sz val="12"/>
        <rFont val="Arial"/>
        <family val="2"/>
      </rPr>
      <t>1.85</t>
    </r>
    <r>
      <rPr>
        <sz val="12"/>
        <rFont val="Arial"/>
        <family val="2"/>
      </rPr>
      <t xml:space="preserve"> x (14)</t>
    </r>
    <r>
      <rPr>
        <vertAlign val="superscript"/>
        <sz val="12"/>
        <rFont val="Arial"/>
        <family val="2"/>
      </rPr>
      <t>4.8655</t>
    </r>
  </si>
  <si>
    <r>
      <t>c</t>
    </r>
    <r>
      <rPr>
        <vertAlign val="subscript"/>
        <sz val="12"/>
        <rFont val="Arial"/>
        <family val="2"/>
      </rPr>
      <t>ave</t>
    </r>
    <r>
      <rPr>
        <vertAlign val="superscript"/>
        <sz val="12"/>
        <rFont val="Arial"/>
        <family val="2"/>
      </rPr>
      <t>1.85</t>
    </r>
    <r>
      <rPr>
        <sz val="12"/>
        <rFont val="Arial"/>
        <family val="2"/>
      </rPr>
      <t xml:space="preserve"> x (16)</t>
    </r>
    <r>
      <rPr>
        <vertAlign val="superscript"/>
        <sz val="12"/>
        <rFont val="Arial"/>
        <family val="2"/>
      </rPr>
      <t>4.8655</t>
    </r>
  </si>
  <si>
    <t>TOTAL FRICTION LOSS =</t>
  </si>
  <si>
    <t>TOTAL FITTING LOSS =</t>
  </si>
  <si>
    <t xml:space="preserve">CRITICAL HYDRANT PRESSURE = </t>
  </si>
  <si>
    <t>PRESSURE</t>
  </si>
  <si>
    <r>
      <t>h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</si>
  <si>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4</t>
    </r>
  </si>
  <si>
    <r>
      <t>h</t>
    </r>
    <r>
      <rPr>
        <vertAlign val="subscript"/>
        <sz val="12"/>
        <rFont val="Arial"/>
        <family val="2"/>
      </rPr>
      <t>6</t>
    </r>
  </si>
  <si>
    <r>
      <t>h</t>
    </r>
    <r>
      <rPr>
        <vertAlign val="subscript"/>
        <sz val="12"/>
        <rFont val="Arial"/>
        <family val="2"/>
      </rPr>
      <t>8</t>
    </r>
  </si>
  <si>
    <r>
      <t>h</t>
    </r>
    <r>
      <rPr>
        <vertAlign val="subscript"/>
        <sz val="12"/>
        <rFont val="Arial"/>
        <family val="2"/>
      </rPr>
      <t>10</t>
    </r>
  </si>
  <si>
    <r>
      <t>h1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</si>
  <si>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14</t>
    </r>
  </si>
  <si>
    <r>
      <t>h</t>
    </r>
    <r>
      <rPr>
        <vertAlign val="subscript"/>
        <sz val="12"/>
        <rFont val="Arial"/>
        <family val="2"/>
      </rPr>
      <t>16</t>
    </r>
  </si>
  <si>
    <t xml:space="preserve">2-INCH MAIN: </t>
  </si>
  <si>
    <t>4-INCH MAIN:</t>
  </si>
  <si>
    <t>6-INCH MAIN:</t>
  </si>
  <si>
    <t>8-INCH MAIN:</t>
  </si>
  <si>
    <t>10-INCH MAIN:</t>
  </si>
  <si>
    <t>12-INCH MAIN:</t>
  </si>
  <si>
    <t>14-INCH MAIN:</t>
  </si>
  <si>
    <t>16-INCH MAIN: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</si>
</sst>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u/>
      <vertAlign val="subscript"/>
      <sz val="12"/>
      <name val="Arial"/>
      <family val="2"/>
    </font>
    <font>
      <u/>
      <vertAlign val="superscript"/>
      <sz val="12"/>
      <name val="Arial"/>
      <family val="2"/>
    </font>
    <font>
      <sz val="18"/>
      <color theme="1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vertAlign val="superscript"/>
      <sz val="12"/>
      <name val="Arial"/>
      <family val="2"/>
    </font>
    <font>
      <vertAlign val="subscript"/>
      <sz val="12"/>
      <name val="Arial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right"/>
    </xf>
    <xf numFmtId="2" fontId="3" fillId="0" borderId="0" xfId="0" applyNumberFormat="1" applyFont="1" applyFill="1" applyAlignment="1"/>
    <xf numFmtId="0" fontId="3" fillId="0" borderId="0" xfId="0" applyFont="1" applyFill="1" applyBorder="1" applyAlignment="1">
      <alignment horizontal="center"/>
    </xf>
    <xf numFmtId="0" fontId="0" fillId="0" borderId="1" xfId="0" applyBorder="1"/>
    <xf numFmtId="0" fontId="1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Fill="1"/>
    <xf numFmtId="0" fontId="0" fillId="0" borderId="0" xfId="0" applyBorder="1"/>
    <xf numFmtId="0" fontId="11" fillId="0" borderId="0" xfId="0" applyFont="1" applyFill="1" applyBorder="1" applyAlignment="1">
      <alignment vertical="center"/>
    </xf>
    <xf numFmtId="0" fontId="1" fillId="0" borderId="0" xfId="0" applyFont="1"/>
    <xf numFmtId="0" fontId="11" fillId="5" borderId="1" xfId="0" applyFont="1" applyFill="1" applyBorder="1" applyAlignment="1">
      <alignment horizontal="center" vertical="center"/>
    </xf>
    <xf numFmtId="0" fontId="0" fillId="0" borderId="6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right"/>
    </xf>
    <xf numFmtId="0" fontId="3" fillId="0" borderId="2" xfId="0" applyFont="1" applyFill="1" applyBorder="1" applyAlignment="1">
      <alignment horizontal="right"/>
    </xf>
    <xf numFmtId="49" fontId="3" fillId="0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2" fontId="3" fillId="0" borderId="8" xfId="0" applyNumberFormat="1" applyFont="1" applyFill="1" applyBorder="1" applyAlignment="1">
      <alignment horizontal="right"/>
    </xf>
    <xf numFmtId="0" fontId="3" fillId="0" borderId="8" xfId="0" applyFont="1" applyFill="1" applyBorder="1" applyAlignment="1"/>
    <xf numFmtId="0" fontId="3" fillId="0" borderId="8" xfId="0" applyFont="1" applyFill="1" applyBorder="1" applyAlignment="1">
      <alignment horizontal="right"/>
    </xf>
    <xf numFmtId="2" fontId="0" fillId="0" borderId="0" xfId="0" applyNumberFormat="1"/>
    <xf numFmtId="0" fontId="12" fillId="0" borderId="0" xfId="0" applyFont="1"/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right"/>
    </xf>
    <xf numFmtId="0" fontId="14" fillId="0" borderId="0" xfId="0" applyFont="1"/>
    <xf numFmtId="2" fontId="13" fillId="0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2" fontId="14" fillId="0" borderId="0" xfId="0" applyNumberFormat="1" applyFont="1" applyAlignment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2" fontId="13" fillId="0" borderId="0" xfId="0" applyNumberFormat="1" applyFont="1" applyFill="1" applyAlignment="1">
      <alignment horizontal="right"/>
    </xf>
    <xf numFmtId="0" fontId="1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/>
    <xf numFmtId="0" fontId="3" fillId="0" borderId="0" xfId="0" applyFont="1" applyFill="1" applyBorder="1" applyAlignment="1"/>
    <xf numFmtId="0" fontId="4" fillId="0" borderId="0" xfId="0" applyFont="1" applyFill="1" applyAlignment="1"/>
    <xf numFmtId="0" fontId="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2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11" fillId="2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 vertical="center"/>
    </xf>
    <xf numFmtId="0" fontId="11" fillId="3" borderId="12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347383</xdr:colOff>
      <xdr:row>48</xdr:row>
      <xdr:rowOff>0</xdr:rowOff>
    </xdr:from>
    <xdr:to>
      <xdr:col>5</xdr:col>
      <xdr:colOff>302560</xdr:colOff>
      <xdr:row>54</xdr:row>
      <xdr:rowOff>0</xdr:rowOff>
    </xdr:to>
    <xdr:sp macro="[0]!Sheet1.CleanForPrint" textlink="">
      <xdr:nvSpPr>
        <xdr:cNvPr id="3" name="Rounded Rectangle 2"/>
        <xdr:cNvSpPr/>
      </xdr:nvSpPr>
      <xdr:spPr>
        <a:xfrm>
          <a:off x="1893795" y="9368118"/>
          <a:ext cx="1770530" cy="11430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TO CLEAN PRINT PAGE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233"/>
  <sheetViews>
    <sheetView tabSelected="1" zoomScale="70" zoomScaleNormal="70" zoomScaleSheetLayoutView="100" workbookViewId="0">
      <selection sqref="A1:XFD1048576"/>
    </sheetView>
  </sheetViews>
  <sheetFormatPr defaultRowHeight="15" x14ac:dyDescent="0.25"/>
  <cols>
    <col min="1" max="1" width="17.28515625" customWidth="1"/>
    <col min="4" max="4" width="4.42578125" customWidth="1"/>
    <col min="5" max="5" width="4" customWidth="1"/>
    <col min="6" max="6" width="17" customWidth="1"/>
    <col min="7" max="7" width="6.140625" customWidth="1"/>
    <col min="8" max="8" width="4.5703125" customWidth="1"/>
    <col min="9" max="9" width="4.7109375" customWidth="1"/>
    <col min="10" max="10" width="16.7109375" customWidth="1"/>
    <col min="11" max="11" width="6.5703125" customWidth="1"/>
    <col min="12" max="12" width="3.42578125" customWidth="1"/>
    <col min="13" max="13" width="7.5703125" customWidth="1"/>
    <col min="14" max="14" width="4.42578125" bestFit="1" customWidth="1"/>
    <col min="15" max="15" width="2.28515625" bestFit="1" customWidth="1"/>
    <col min="19" max="19" width="3.42578125" bestFit="1" customWidth="1"/>
  </cols>
  <sheetData>
    <row r="1" spans="6:30" ht="18" x14ac:dyDescent="0.25">
      <c r="H1" s="6" t="str">
        <f>"PRESSURE CALCULATIONS FOR PIPE RELAY - "&amp;'ENTER DATA HERE'!E3&amp;" -  HYD "&amp;'ENTER DATA HERE'!E4</f>
        <v>PRESSURE CALCULATIONS FOR PIPE RELAY - OAK CREEK SECONDARY SCHOOL -  HYD 8</v>
      </c>
      <c r="AD1">
        <v>1</v>
      </c>
    </row>
    <row r="3" spans="6:30" s="31" customFormat="1" ht="15.75" x14ac:dyDescent="0.25">
      <c r="H3" s="7" t="str">
        <f>"Location of Flowing Hydrant -"&amp;'ENTER DATA HERE'!E5</f>
        <v>Location of Flowing Hydrant -S Knights Place between E Groveland Pl and E Puetz Rd</v>
      </c>
    </row>
    <row r="5" spans="6:30" x14ac:dyDescent="0.25">
      <c r="F5" s="1" t="s">
        <v>0</v>
      </c>
      <c r="G5">
        <v>1752</v>
      </c>
      <c r="H5" t="s">
        <v>1</v>
      </c>
      <c r="L5" s="1" t="s">
        <v>2</v>
      </c>
      <c r="M5">
        <v>58</v>
      </c>
      <c r="N5" t="s">
        <v>3</v>
      </c>
    </row>
    <row r="6" spans="6:30" x14ac:dyDescent="0.25">
      <c r="F6" s="1" t="s">
        <v>4</v>
      </c>
      <c r="G6">
        <v>705.25</v>
      </c>
      <c r="H6" t="s">
        <v>5</v>
      </c>
      <c r="L6" s="1" t="s">
        <v>6</v>
      </c>
      <c r="M6">
        <v>60</v>
      </c>
      <c r="N6" t="s">
        <v>3</v>
      </c>
    </row>
    <row r="7" spans="6:30" x14ac:dyDescent="0.25">
      <c r="F7" s="1" t="s">
        <v>7</v>
      </c>
      <c r="G7">
        <v>701.72</v>
      </c>
      <c r="H7" t="s">
        <v>5</v>
      </c>
      <c r="L7" s="1" t="s">
        <v>8</v>
      </c>
      <c r="M7">
        <v>12</v>
      </c>
      <c r="N7" t="s">
        <v>9</v>
      </c>
    </row>
    <row r="9" spans="6:30" ht="15.75" customHeight="1" x14ac:dyDescent="0.25">
      <c r="F9" s="1" t="s">
        <v>10</v>
      </c>
      <c r="G9">
        <f>SUM('ENTER DATA HERE'!C19:E19)</f>
        <v>0</v>
      </c>
      <c r="H9" t="s">
        <v>5</v>
      </c>
      <c r="L9" s="1" t="s">
        <v>11</v>
      </c>
      <c r="M9">
        <f>'ENTER DATA HERE'!Z46</f>
        <v>0</v>
      </c>
      <c r="N9" t="s">
        <v>5</v>
      </c>
    </row>
    <row r="10" spans="6:30" x14ac:dyDescent="0.25">
      <c r="F10" s="1" t="s">
        <v>12</v>
      </c>
      <c r="G10">
        <f>SUM('ENTER DATA HERE'!C20:E20)</f>
        <v>0</v>
      </c>
      <c r="H10" t="s">
        <v>5</v>
      </c>
      <c r="L10" s="1" t="s">
        <v>13</v>
      </c>
      <c r="M10">
        <f>'ENTER DATA HERE'!AA46</f>
        <v>0</v>
      </c>
      <c r="N10" t="s">
        <v>5</v>
      </c>
    </row>
    <row r="11" spans="6:30" x14ac:dyDescent="0.25">
      <c r="F11" s="1" t="s">
        <v>14</v>
      </c>
      <c r="G11">
        <f>SUM('ENTER DATA HERE'!C21:E21)</f>
        <v>300</v>
      </c>
      <c r="H11" t="s">
        <v>5</v>
      </c>
      <c r="L11" s="1" t="s">
        <v>15</v>
      </c>
      <c r="M11">
        <f>'ENTER DATA HERE'!AB46</f>
        <v>90.300000000000011</v>
      </c>
      <c r="N11" t="s">
        <v>5</v>
      </c>
    </row>
    <row r="12" spans="6:30" x14ac:dyDescent="0.25">
      <c r="F12" s="1" t="s">
        <v>16</v>
      </c>
      <c r="G12">
        <f>SUM('ENTER DATA HERE'!C22:E22)</f>
        <v>0</v>
      </c>
      <c r="H12" t="s">
        <v>5</v>
      </c>
      <c r="L12" s="1" t="s">
        <v>17</v>
      </c>
      <c r="M12">
        <f>'ENTER DATA HERE'!AC46</f>
        <v>0</v>
      </c>
      <c r="N12" t="s">
        <v>5</v>
      </c>
    </row>
    <row r="13" spans="6:30" x14ac:dyDescent="0.25">
      <c r="F13" s="1" t="s">
        <v>18</v>
      </c>
      <c r="G13">
        <f>SUM('ENTER DATA HERE'!C23:E23)</f>
        <v>100</v>
      </c>
      <c r="H13" t="s">
        <v>5</v>
      </c>
      <c r="L13" s="1" t="s">
        <v>19</v>
      </c>
      <c r="M13">
        <f>'ENTER DATA HERE'!AD46</f>
        <v>81.8</v>
      </c>
      <c r="N13" t="s">
        <v>5</v>
      </c>
    </row>
    <row r="14" spans="6:30" x14ac:dyDescent="0.25">
      <c r="F14" s="1" t="s">
        <v>20</v>
      </c>
      <c r="G14">
        <f>SUM('ENTER DATA HERE'!C24:E24)</f>
        <v>0</v>
      </c>
      <c r="H14" t="s">
        <v>5</v>
      </c>
      <c r="L14" s="1" t="s">
        <v>21</v>
      </c>
      <c r="M14">
        <f>'ENTER DATA HERE'!AE46</f>
        <v>0</v>
      </c>
      <c r="N14" t="s">
        <v>5</v>
      </c>
    </row>
    <row r="15" spans="6:30" x14ac:dyDescent="0.25">
      <c r="F15" s="1" t="s">
        <v>22</v>
      </c>
      <c r="G15">
        <f>SUM('ENTER DATA HERE'!C25:E25)</f>
        <v>0</v>
      </c>
      <c r="H15" t="s">
        <v>5</v>
      </c>
      <c r="L15" s="1" t="s">
        <v>23</v>
      </c>
      <c r="M15">
        <f>'ENTER DATA HERE'!AF46</f>
        <v>0</v>
      </c>
      <c r="N15" t="s">
        <v>5</v>
      </c>
    </row>
    <row r="16" spans="6:30" x14ac:dyDescent="0.25">
      <c r="F16" s="1" t="s">
        <v>24</v>
      </c>
      <c r="G16">
        <f>SUM('ENTER DATA HERE'!C26:E26)</f>
        <v>500</v>
      </c>
      <c r="H16" t="s">
        <v>5</v>
      </c>
      <c r="L16" s="1" t="s">
        <v>25</v>
      </c>
      <c r="M16">
        <f>'ENTER DATA HERE'!AG46</f>
        <v>25.2</v>
      </c>
      <c r="N16" t="s">
        <v>5</v>
      </c>
    </row>
    <row r="18" spans="1:19" x14ac:dyDescent="0.25">
      <c r="F18" s="1" t="s">
        <v>26</v>
      </c>
      <c r="G18">
        <f>SUM(G9:G16)</f>
        <v>900</v>
      </c>
      <c r="H18" t="s">
        <v>5</v>
      </c>
    </row>
    <row r="20" spans="1:19" ht="15.75" x14ac:dyDescent="0.25">
      <c r="A20" s="35" t="str">
        <f>"STEP 1: EQUIVILENT PRESSURE AT "&amp;'ENTER DATA HERE'!E6&amp;" GPM"</f>
        <v>STEP 1: EQUIVILENT PRESSURE AT 500 GPM</v>
      </c>
    </row>
    <row r="22" spans="1:19" ht="20.25" customHeight="1" x14ac:dyDescent="0.35">
      <c r="B22" s="47" t="s">
        <v>27</v>
      </c>
      <c r="C22" s="47"/>
      <c r="D22" s="46" t="s">
        <v>28</v>
      </c>
      <c r="E22" s="55" t="s">
        <v>29</v>
      </c>
      <c r="F22" s="47" t="s">
        <v>30</v>
      </c>
      <c r="G22" s="47"/>
      <c r="H22" s="55" t="s">
        <v>31</v>
      </c>
      <c r="I22" s="46" t="s">
        <v>32</v>
      </c>
      <c r="J22" s="47" t="s">
        <v>33</v>
      </c>
      <c r="K22" s="47"/>
      <c r="L22" s="54" t="str">
        <f>"+("</f>
        <v>+(</v>
      </c>
      <c r="M22" s="47" t="s">
        <v>30</v>
      </c>
      <c r="N22" s="47"/>
      <c r="O22" s="47"/>
      <c r="P22" s="47"/>
      <c r="Q22" s="55" t="s">
        <v>31</v>
      </c>
      <c r="R22" s="42"/>
    </row>
    <row r="23" spans="1:19" ht="20.25" customHeight="1" x14ac:dyDescent="0.35">
      <c r="B23" s="48" t="s">
        <v>34</v>
      </c>
      <c r="C23" s="48"/>
      <c r="D23" s="46"/>
      <c r="E23" s="55"/>
      <c r="F23" s="56" t="s">
        <v>62</v>
      </c>
      <c r="G23" s="56"/>
      <c r="H23" s="55"/>
      <c r="I23" s="46"/>
      <c r="J23" s="48" t="s">
        <v>34</v>
      </c>
      <c r="K23" s="48"/>
      <c r="L23" s="54"/>
      <c r="M23" s="56" t="s">
        <v>62</v>
      </c>
      <c r="N23" s="56"/>
      <c r="O23" s="56"/>
      <c r="P23" s="56"/>
      <c r="Q23" s="55"/>
      <c r="R23" s="44"/>
      <c r="S23" s="45"/>
    </row>
    <row r="24" spans="1:19" ht="20.25" x14ac:dyDescent="0.35">
      <c r="F24" s="48" t="s">
        <v>35</v>
      </c>
      <c r="G24" s="48"/>
      <c r="H24" s="43"/>
      <c r="M24" s="48" t="s">
        <v>35</v>
      </c>
      <c r="N24" s="48"/>
      <c r="O24" s="48"/>
      <c r="P24" s="48"/>
      <c r="Q24" s="43"/>
      <c r="R24" s="43"/>
    </row>
    <row r="26" spans="1:19" s="34" customFormat="1" ht="15.75" x14ac:dyDescent="0.25">
      <c r="K26" s="40" t="s">
        <v>128</v>
      </c>
      <c r="L26" s="35" t="s">
        <v>32</v>
      </c>
      <c r="M26" s="35">
        <f>((M5*(144/62.4))+POWER(((G5*0.002228)/(0.25*3.14*POWER((M7/12),2))),2)/(2*32.2)-POWER((('ENTER DATA HERE'!E6*0.002228)/(0.25*3.14*POWER((M7/12),2))),2)/(2*32.2))*(62.4/144)</f>
        <v>58.152826970727972</v>
      </c>
      <c r="N26" s="35" t="s">
        <v>3</v>
      </c>
    </row>
    <row r="27" spans="1:19" x14ac:dyDescent="0.25">
      <c r="L27" s="10"/>
    </row>
    <row r="28" spans="1:19" ht="15.75" x14ac:dyDescent="0.25">
      <c r="A28" s="35" t="s">
        <v>63</v>
      </c>
      <c r="L28" s="10"/>
    </row>
    <row r="29" spans="1:19" x14ac:dyDescent="0.25">
      <c r="L29" s="10"/>
    </row>
    <row r="30" spans="1:19" ht="15.75" x14ac:dyDescent="0.25">
      <c r="E30" s="46" t="s">
        <v>137</v>
      </c>
      <c r="F30" s="46"/>
      <c r="G30" s="50" t="s">
        <v>129</v>
      </c>
      <c r="H30" s="46" t="s">
        <v>32</v>
      </c>
      <c r="I30" s="47" t="str">
        <f>"10.54 x L x ("&amp;'ENTER DATA HERE'!$E$6&amp;") 1.85"</f>
        <v>10.54 x L x (500) 1.85</v>
      </c>
      <c r="J30" s="47"/>
      <c r="K30" s="47"/>
      <c r="L30" s="46" t="s">
        <v>32</v>
      </c>
      <c r="M30" s="49">
        <f>IF('ENTER DATA HERE'!$F$19=0,0,-1*((10.54*$G$9*(POWER('ENTER DATA HERE'!$E$6,1.85)))/((POWER('ENTER DATA HERE'!$I$19,1.85)*(POWER(2,4.8655))))))</f>
        <v>0</v>
      </c>
      <c r="N30" s="46" t="s">
        <v>5</v>
      </c>
    </row>
    <row r="31" spans="1:19" ht="20.25" x14ac:dyDescent="0.35">
      <c r="E31" s="46"/>
      <c r="F31" s="46"/>
      <c r="G31" s="50"/>
      <c r="H31" s="46"/>
      <c r="I31" s="48" t="s">
        <v>120</v>
      </c>
      <c r="J31" s="48"/>
      <c r="K31" s="48"/>
      <c r="L31" s="46"/>
      <c r="M31" s="49"/>
      <c r="N31" s="46"/>
    </row>
    <row r="32" spans="1:19" x14ac:dyDescent="0.25">
      <c r="L32" s="10"/>
      <c r="M32" s="39"/>
      <c r="N32" s="38"/>
    </row>
    <row r="33" spans="5:14" ht="15.75" x14ac:dyDescent="0.25">
      <c r="E33" s="46" t="s">
        <v>138</v>
      </c>
      <c r="F33" s="46"/>
      <c r="G33" s="50" t="s">
        <v>130</v>
      </c>
      <c r="H33" s="46" t="s">
        <v>32</v>
      </c>
      <c r="I33" s="47" t="str">
        <f>"10.54 x L x ("&amp;'ENTER DATA HERE'!$E$6&amp;") 1.85"</f>
        <v>10.54 x L x (500) 1.85</v>
      </c>
      <c r="J33" s="47"/>
      <c r="K33" s="47"/>
      <c r="L33" s="46" t="s">
        <v>32</v>
      </c>
      <c r="M33" s="49">
        <f>IF('ENTER DATA HERE'!$F$20=0,0,-1*((10.54*$G$10*(POWER('ENTER DATA HERE'!$E$6,1.85)))/((POWER('ENTER DATA HERE'!$I$20,1.85)*(POWER(4,4.8655))))))</f>
        <v>0</v>
      </c>
      <c r="N33" s="46" t="s">
        <v>5</v>
      </c>
    </row>
    <row r="34" spans="5:14" ht="20.25" x14ac:dyDescent="0.35">
      <c r="E34" s="46"/>
      <c r="F34" s="46"/>
      <c r="G34" s="50"/>
      <c r="H34" s="46"/>
      <c r="I34" s="48" t="s">
        <v>121</v>
      </c>
      <c r="J34" s="48"/>
      <c r="K34" s="48"/>
      <c r="L34" s="46"/>
      <c r="M34" s="49"/>
      <c r="N34" s="46"/>
    </row>
    <row r="35" spans="5:14" x14ac:dyDescent="0.25">
      <c r="L35" s="10"/>
      <c r="N35" s="36"/>
    </row>
    <row r="36" spans="5:14" ht="15.75" x14ac:dyDescent="0.25">
      <c r="E36" s="46" t="s">
        <v>139</v>
      </c>
      <c r="F36" s="46"/>
      <c r="G36" s="50" t="s">
        <v>131</v>
      </c>
      <c r="H36" s="46" t="s">
        <v>32</v>
      </c>
      <c r="I36" s="47" t="str">
        <f>"10.54 x L x ("&amp;'ENTER DATA HERE'!$E$6&amp;") 1.85"</f>
        <v>10.54 x L x (500) 1.85</v>
      </c>
      <c r="J36" s="47"/>
      <c r="K36" s="47"/>
      <c r="L36" s="46" t="s">
        <v>32</v>
      </c>
      <c r="M36" s="49">
        <f>IF('ENTER DATA HERE'!$F$21=0,0,-1*((10.54*$G$11*(POWER('ENTER DATA HERE'!$E$6,1.85)))/((POWER('ENTER DATA HERE'!$I$21,1.85)*(POWER(6,4.8655))))))</f>
        <v>-5.701454347132791</v>
      </c>
      <c r="N36" s="46" t="s">
        <v>5</v>
      </c>
    </row>
    <row r="37" spans="5:14" ht="20.25" x14ac:dyDescent="0.35">
      <c r="E37" s="46"/>
      <c r="F37" s="46"/>
      <c r="G37" s="50"/>
      <c r="H37" s="46"/>
      <c r="I37" s="48" t="s">
        <v>103</v>
      </c>
      <c r="J37" s="48"/>
      <c r="K37" s="48"/>
      <c r="L37" s="46"/>
      <c r="M37" s="49"/>
      <c r="N37" s="46"/>
    </row>
    <row r="38" spans="5:14" x14ac:dyDescent="0.25">
      <c r="L38" s="10"/>
      <c r="M38" s="39"/>
      <c r="N38" s="38"/>
    </row>
    <row r="39" spans="5:14" ht="15.75" x14ac:dyDescent="0.25">
      <c r="E39" s="46" t="s">
        <v>140</v>
      </c>
      <c r="F39" s="46"/>
      <c r="G39" s="50" t="s">
        <v>132</v>
      </c>
      <c r="H39" s="46" t="s">
        <v>32</v>
      </c>
      <c r="I39" s="47" t="str">
        <f>"10.54 x L x ("&amp;'ENTER DATA HERE'!$E$6&amp;") 1.85"</f>
        <v>10.54 x L x (500) 1.85</v>
      </c>
      <c r="J39" s="47"/>
      <c r="K39" s="47"/>
      <c r="L39" s="46" t="s">
        <v>32</v>
      </c>
      <c r="M39" s="49">
        <f>IF('ENTER DATA HERE'!$F$22=0,0,-1*((10.54*$G$12*(POWER('ENTER DATA HERE'!$E$6,1.85)))/((POWER('ENTER DATA HERE'!$I$22,1.85)*(POWER(8,4.8655))))))</f>
        <v>0</v>
      </c>
      <c r="N39" s="46" t="s">
        <v>5</v>
      </c>
    </row>
    <row r="40" spans="5:14" ht="20.25" x14ac:dyDescent="0.35">
      <c r="E40" s="46"/>
      <c r="F40" s="46"/>
      <c r="G40" s="50"/>
      <c r="H40" s="46"/>
      <c r="I40" s="48" t="s">
        <v>122</v>
      </c>
      <c r="J40" s="48"/>
      <c r="K40" s="48"/>
      <c r="L40" s="46"/>
      <c r="M40" s="49"/>
      <c r="N40" s="46"/>
    </row>
    <row r="41" spans="5:14" x14ac:dyDescent="0.25">
      <c r="L41" s="10"/>
      <c r="M41" s="39"/>
      <c r="N41" s="38"/>
    </row>
    <row r="42" spans="5:14" ht="15.75" x14ac:dyDescent="0.25">
      <c r="E42" s="46" t="s">
        <v>141</v>
      </c>
      <c r="F42" s="46"/>
      <c r="G42" s="50" t="s">
        <v>133</v>
      </c>
      <c r="H42" s="46" t="s">
        <v>32</v>
      </c>
      <c r="I42" s="47" t="str">
        <f>"10.54 x L x ("&amp;'ENTER DATA HERE'!$E$6&amp;") 1.85"</f>
        <v>10.54 x L x (500) 1.85</v>
      </c>
      <c r="J42" s="47"/>
      <c r="K42" s="47"/>
      <c r="L42" s="46" t="s">
        <v>32</v>
      </c>
      <c r="M42" s="49">
        <f>IF('ENTER DATA HERE'!$F$23=0,0,-1*((10.54*$G$13*(POWER('ENTER DATA HERE'!$E$6,1.85)))/((POWER('ENTER DATA HERE'!$I$23,1.85)*(POWER(10,4.8655))))))</f>
        <v>-0.13324971525544008</v>
      </c>
      <c r="N42" s="46" t="s">
        <v>5</v>
      </c>
    </row>
    <row r="43" spans="5:14" ht="20.25" x14ac:dyDescent="0.35">
      <c r="E43" s="46"/>
      <c r="F43" s="46"/>
      <c r="G43" s="50"/>
      <c r="H43" s="46"/>
      <c r="I43" s="48" t="s">
        <v>104</v>
      </c>
      <c r="J43" s="48"/>
      <c r="K43" s="48"/>
      <c r="L43" s="46"/>
      <c r="M43" s="49"/>
      <c r="N43" s="46"/>
    </row>
    <row r="44" spans="5:14" x14ac:dyDescent="0.25">
      <c r="L44" s="10"/>
      <c r="M44" s="39"/>
      <c r="N44" s="38"/>
    </row>
    <row r="45" spans="5:14" ht="15.75" x14ac:dyDescent="0.25">
      <c r="E45" s="46" t="s">
        <v>142</v>
      </c>
      <c r="F45" s="46"/>
      <c r="G45" s="50" t="s">
        <v>134</v>
      </c>
      <c r="H45" s="46" t="s">
        <v>32</v>
      </c>
      <c r="I45" s="47" t="str">
        <f>"10.54 x L x ("&amp;'ENTER DATA HERE'!$E$6&amp;") 1.85"</f>
        <v>10.54 x L x (500) 1.85</v>
      </c>
      <c r="J45" s="47"/>
      <c r="K45" s="47"/>
      <c r="L45" s="46" t="s">
        <v>32</v>
      </c>
      <c r="M45" s="49">
        <f>IF('ENTER DATA HERE'!$F$24=0,0,-1*((10.54*$G$14*(POWER('ENTER DATA HERE'!$E$6,1.85)))/((POWER('ENTER DATA HERE'!$I$24,1.85)*(POWER(12,4.8655))))))</f>
        <v>0</v>
      </c>
      <c r="N45" s="46" t="s">
        <v>5</v>
      </c>
    </row>
    <row r="46" spans="5:14" ht="20.25" x14ac:dyDescent="0.35">
      <c r="E46" s="46"/>
      <c r="F46" s="46"/>
      <c r="G46" s="50"/>
      <c r="H46" s="46"/>
      <c r="I46" s="48" t="s">
        <v>105</v>
      </c>
      <c r="J46" s="48"/>
      <c r="K46" s="48"/>
      <c r="L46" s="46"/>
      <c r="M46" s="49"/>
      <c r="N46" s="46"/>
    </row>
    <row r="47" spans="5:14" ht="15.75" x14ac:dyDescent="0.25">
      <c r="E47" s="3"/>
      <c r="F47" s="3"/>
      <c r="G47" s="3"/>
      <c r="H47" s="3"/>
      <c r="L47" s="10"/>
      <c r="M47" s="39"/>
      <c r="N47" s="38"/>
    </row>
    <row r="48" spans="5:14" ht="15.75" x14ac:dyDescent="0.25">
      <c r="E48" s="46" t="s">
        <v>143</v>
      </c>
      <c r="F48" s="46"/>
      <c r="G48" s="50" t="s">
        <v>135</v>
      </c>
      <c r="H48" s="46" t="s">
        <v>32</v>
      </c>
      <c r="I48" s="47" t="str">
        <f>"10.54 x L x ("&amp;'ENTER DATA HERE'!$E$6&amp;") 1.85"</f>
        <v>10.54 x L x (500) 1.85</v>
      </c>
      <c r="J48" s="47"/>
      <c r="K48" s="47"/>
      <c r="L48" s="46" t="s">
        <v>32</v>
      </c>
      <c r="M48" s="49">
        <f>IF('ENTER DATA HERE'!$F$25=0,0,-1*((10.54*$G$15*(POWER('ENTER DATA HERE'!$E$6,1.85)))/((POWER('ENTER DATA HERE'!$I$25,1.85)*(POWER(14,4.8655))))))</f>
        <v>0</v>
      </c>
      <c r="N48" s="46" t="s">
        <v>5</v>
      </c>
    </row>
    <row r="49" spans="1:14" ht="20.25" x14ac:dyDescent="0.35">
      <c r="E49" s="46"/>
      <c r="F49" s="46"/>
      <c r="G49" s="50"/>
      <c r="H49" s="46"/>
      <c r="I49" s="48" t="s">
        <v>123</v>
      </c>
      <c r="J49" s="48"/>
      <c r="K49" s="48"/>
      <c r="L49" s="46"/>
      <c r="M49" s="49"/>
      <c r="N49" s="46"/>
    </row>
    <row r="50" spans="1:14" ht="15.75" x14ac:dyDescent="0.25">
      <c r="E50" s="3"/>
      <c r="F50" s="3"/>
      <c r="G50" s="3"/>
      <c r="H50" s="3"/>
      <c r="L50" s="10"/>
      <c r="M50" s="39"/>
      <c r="N50" s="38"/>
    </row>
    <row r="51" spans="1:14" ht="15.75" x14ac:dyDescent="0.25">
      <c r="E51" s="46" t="s">
        <v>144</v>
      </c>
      <c r="F51" s="46"/>
      <c r="G51" s="50" t="s">
        <v>136</v>
      </c>
      <c r="H51" s="46" t="s">
        <v>32</v>
      </c>
      <c r="I51" s="47" t="str">
        <f>"10.54 x L x ("&amp;'ENTER DATA HERE'!$E$6&amp;") 1.85"</f>
        <v>10.54 x L x (500) 1.85</v>
      </c>
      <c r="J51" s="47"/>
      <c r="K51" s="47"/>
      <c r="L51" s="46" t="s">
        <v>32</v>
      </c>
      <c r="M51" s="49">
        <f>IF('ENTER DATA HERE'!$F$26=0,0,-1*((10.54*$G$16*(POWER('ENTER DATA HERE'!$E$6,1.85)))/((POWER('ENTER DATA HERE'!$I$26,1.85)*(POWER(16,4.8655))))))</f>
        <v>-6.7684701565656341E-2</v>
      </c>
      <c r="N51" s="46" t="s">
        <v>5</v>
      </c>
    </row>
    <row r="52" spans="1:14" ht="20.25" x14ac:dyDescent="0.35">
      <c r="E52" s="46"/>
      <c r="F52" s="46"/>
      <c r="G52" s="50"/>
      <c r="H52" s="46"/>
      <c r="I52" s="48" t="s">
        <v>124</v>
      </c>
      <c r="J52" s="48"/>
      <c r="K52" s="48"/>
      <c r="L52" s="46"/>
      <c r="M52" s="49"/>
      <c r="N52" s="46"/>
    </row>
    <row r="53" spans="1:14" ht="15.75" x14ac:dyDescent="0.25">
      <c r="E53" s="3"/>
      <c r="F53" s="3"/>
      <c r="G53" s="3"/>
      <c r="H53" s="3"/>
      <c r="N53" s="36"/>
    </row>
    <row r="54" spans="1:14" s="14" customFormat="1" ht="15.75" x14ac:dyDescent="0.25">
      <c r="E54" s="32"/>
      <c r="F54" s="32"/>
      <c r="G54" s="32"/>
      <c r="K54" s="37"/>
      <c r="L54" s="33" t="s">
        <v>125</v>
      </c>
      <c r="M54" s="33">
        <f>M30+M33+M36+M39+M42+M45+M48+M51</f>
        <v>-5.902388763953887</v>
      </c>
      <c r="N54" s="33" t="s">
        <v>5</v>
      </c>
    </row>
    <row r="55" spans="1:14" ht="15.75" x14ac:dyDescent="0.25">
      <c r="E55" s="3"/>
      <c r="F55" s="3"/>
      <c r="G55" s="3"/>
      <c r="H55" s="3"/>
    </row>
    <row r="56" spans="1:14" ht="15.75" x14ac:dyDescent="0.25">
      <c r="E56" s="3"/>
      <c r="F56" s="3"/>
      <c r="G56" s="3"/>
      <c r="H56" s="3"/>
    </row>
    <row r="58" spans="1:14" ht="15.75" x14ac:dyDescent="0.25">
      <c r="A58" s="35" t="s">
        <v>106</v>
      </c>
    </row>
    <row r="60" spans="1:14" ht="18.75" x14ac:dyDescent="0.3">
      <c r="E60" s="53" t="s">
        <v>66</v>
      </c>
      <c r="F60" s="53"/>
      <c r="G60" s="53"/>
      <c r="H60" s="53"/>
      <c r="I60" s="53"/>
      <c r="J60" s="53"/>
      <c r="K60" s="53"/>
      <c r="L60" s="53"/>
    </row>
    <row r="61" spans="1:14" ht="30" customHeight="1" x14ac:dyDescent="0.25">
      <c r="E61" s="51" t="s">
        <v>86</v>
      </c>
      <c r="F61" s="51"/>
      <c r="G61" s="51"/>
      <c r="H61" s="51"/>
      <c r="I61" s="41" t="s">
        <v>87</v>
      </c>
      <c r="J61" s="41" t="s">
        <v>89</v>
      </c>
      <c r="K61" s="52" t="s">
        <v>90</v>
      </c>
      <c r="L61" s="52"/>
    </row>
    <row r="62" spans="1:14" x14ac:dyDescent="0.25">
      <c r="E62" s="20" t="s">
        <v>69</v>
      </c>
      <c r="F62" s="20"/>
      <c r="G62" s="20"/>
      <c r="H62" s="20"/>
      <c r="I62" s="21" t="s">
        <v>91</v>
      </c>
      <c r="J62" s="12">
        <f>'ENTER DATA HERE'!D31</f>
        <v>0</v>
      </c>
      <c r="K62" s="12">
        <f>J62*'ENTER DATA HERE'!Q31</f>
        <v>0</v>
      </c>
      <c r="L62" t="s">
        <v>5</v>
      </c>
    </row>
    <row r="63" spans="1:14" x14ac:dyDescent="0.25">
      <c r="E63" s="20" t="s">
        <v>70</v>
      </c>
      <c r="F63" s="20"/>
      <c r="G63" s="20"/>
      <c r="H63" s="20"/>
      <c r="I63" s="21" t="s">
        <v>91</v>
      </c>
      <c r="J63" s="12">
        <f>'ENTER DATA HERE'!D32</f>
        <v>0</v>
      </c>
      <c r="K63" s="12">
        <f>J63*'ENTER DATA HERE'!Q32</f>
        <v>0</v>
      </c>
      <c r="L63" t="s">
        <v>5</v>
      </c>
    </row>
    <row r="64" spans="1:14" x14ac:dyDescent="0.25">
      <c r="E64" s="20" t="s">
        <v>71</v>
      </c>
      <c r="F64" s="20"/>
      <c r="G64" s="20"/>
      <c r="H64" s="20"/>
      <c r="I64" s="21" t="s">
        <v>91</v>
      </c>
      <c r="J64" s="12">
        <f>'ENTER DATA HERE'!D33</f>
        <v>0</v>
      </c>
      <c r="K64" s="12">
        <f>J64*'ENTER DATA HERE'!Q33</f>
        <v>0</v>
      </c>
      <c r="L64" t="s">
        <v>5</v>
      </c>
    </row>
    <row r="65" spans="5:12" x14ac:dyDescent="0.25">
      <c r="E65" s="20" t="s">
        <v>72</v>
      </c>
      <c r="F65" s="20"/>
      <c r="G65" s="20"/>
      <c r="H65" s="20"/>
      <c r="I65" s="21" t="s">
        <v>91</v>
      </c>
      <c r="J65" s="12">
        <f>'ENTER DATA HERE'!D34</f>
        <v>0</v>
      </c>
      <c r="K65" s="12">
        <f>J65*'ENTER DATA HERE'!Q34</f>
        <v>0</v>
      </c>
      <c r="L65" t="s">
        <v>5</v>
      </c>
    </row>
    <row r="66" spans="5:12" x14ac:dyDescent="0.25">
      <c r="E66" s="20" t="s">
        <v>73</v>
      </c>
      <c r="F66" s="20"/>
      <c r="G66" s="20"/>
      <c r="H66" s="20"/>
      <c r="I66" s="21" t="s">
        <v>91</v>
      </c>
      <c r="J66" s="12">
        <f>'ENTER DATA HERE'!D35</f>
        <v>0</v>
      </c>
      <c r="K66" s="12">
        <f>J66*'ENTER DATA HERE'!Q35</f>
        <v>0</v>
      </c>
      <c r="L66" t="s">
        <v>5</v>
      </c>
    </row>
    <row r="67" spans="5:12" x14ac:dyDescent="0.25">
      <c r="E67" s="20" t="s">
        <v>82</v>
      </c>
      <c r="F67" s="20"/>
      <c r="G67" s="20"/>
      <c r="H67" s="20"/>
      <c r="I67" s="21" t="s">
        <v>91</v>
      </c>
      <c r="J67" s="12">
        <f>'ENTER DATA HERE'!D36</f>
        <v>0</v>
      </c>
      <c r="K67" s="12">
        <f>J67*'ENTER DATA HERE'!Q36</f>
        <v>0</v>
      </c>
      <c r="L67" t="s">
        <v>5</v>
      </c>
    </row>
    <row r="68" spans="5:12" x14ac:dyDescent="0.25">
      <c r="E68" s="20" t="s">
        <v>83</v>
      </c>
      <c r="F68" s="20"/>
      <c r="G68" s="20"/>
      <c r="H68" s="20"/>
      <c r="I68" s="21" t="s">
        <v>91</v>
      </c>
      <c r="J68" s="12">
        <f>'ENTER DATA HERE'!D37</f>
        <v>0</v>
      </c>
      <c r="K68" s="12">
        <f>J68*'ENTER DATA HERE'!Q37</f>
        <v>0</v>
      </c>
      <c r="L68" t="s">
        <v>5</v>
      </c>
    </row>
    <row r="69" spans="5:12" x14ac:dyDescent="0.25">
      <c r="E69" s="20" t="s">
        <v>74</v>
      </c>
      <c r="F69" s="20"/>
      <c r="G69" s="20"/>
      <c r="H69" s="20"/>
      <c r="I69" s="21" t="s">
        <v>91</v>
      </c>
      <c r="J69" s="12">
        <f>'ENTER DATA HERE'!D38</f>
        <v>0</v>
      </c>
      <c r="K69" s="12">
        <f>J69*'ENTER DATA HERE'!Q38</f>
        <v>0</v>
      </c>
      <c r="L69" t="s">
        <v>5</v>
      </c>
    </row>
    <row r="70" spans="5:12" x14ac:dyDescent="0.25">
      <c r="E70" s="20" t="s">
        <v>75</v>
      </c>
      <c r="F70" s="20"/>
      <c r="G70" s="20"/>
      <c r="H70" s="20"/>
      <c r="I70" s="21" t="s">
        <v>91</v>
      </c>
      <c r="J70" s="12">
        <f>'ENTER DATA HERE'!D39</f>
        <v>0</v>
      </c>
      <c r="K70" s="12">
        <f>J70*'ENTER DATA HERE'!Q39</f>
        <v>0</v>
      </c>
      <c r="L70" t="s">
        <v>5</v>
      </c>
    </row>
    <row r="71" spans="5:12" x14ac:dyDescent="0.25">
      <c r="E71" s="20" t="s">
        <v>76</v>
      </c>
      <c r="F71" s="20"/>
      <c r="G71" s="20"/>
      <c r="H71" s="20"/>
      <c r="I71" s="21" t="s">
        <v>91</v>
      </c>
      <c r="J71" s="12">
        <f>'ENTER DATA HERE'!D40</f>
        <v>0</v>
      </c>
      <c r="K71" s="12">
        <f>J71*'ENTER DATA HERE'!Q40</f>
        <v>0</v>
      </c>
      <c r="L71" t="s">
        <v>5</v>
      </c>
    </row>
    <row r="72" spans="5:12" x14ac:dyDescent="0.25">
      <c r="E72" s="20" t="s">
        <v>77</v>
      </c>
      <c r="F72" s="20"/>
      <c r="G72" s="20"/>
      <c r="H72" s="20"/>
      <c r="I72" s="21" t="s">
        <v>91</v>
      </c>
      <c r="J72" s="12">
        <f>'ENTER DATA HERE'!D41</f>
        <v>0</v>
      </c>
      <c r="K72" s="12">
        <f>J72*'ENTER DATA HERE'!Q41</f>
        <v>0</v>
      </c>
      <c r="L72" t="s">
        <v>5</v>
      </c>
    </row>
    <row r="73" spans="5:12" x14ac:dyDescent="0.25">
      <c r="E73" s="20" t="s">
        <v>78</v>
      </c>
      <c r="F73" s="20"/>
      <c r="G73" s="20"/>
      <c r="H73" s="20"/>
      <c r="I73" s="21" t="s">
        <v>91</v>
      </c>
      <c r="J73" s="12">
        <f>'ENTER DATA HERE'!D42</f>
        <v>0</v>
      </c>
      <c r="K73" s="12">
        <v>0</v>
      </c>
      <c r="L73" t="s">
        <v>5</v>
      </c>
    </row>
    <row r="74" spans="5:12" x14ac:dyDescent="0.25">
      <c r="E74" s="20" t="s">
        <v>79</v>
      </c>
      <c r="F74" s="20"/>
      <c r="G74" s="20"/>
      <c r="H74" s="20"/>
      <c r="I74" s="21" t="s">
        <v>91</v>
      </c>
      <c r="J74" s="12">
        <f>'ENTER DATA HERE'!D43</f>
        <v>0</v>
      </c>
      <c r="K74" s="12">
        <f>J74*'ENTER DATA HERE'!Q43</f>
        <v>0</v>
      </c>
      <c r="L74" t="s">
        <v>5</v>
      </c>
    </row>
    <row r="75" spans="5:12" x14ac:dyDescent="0.25">
      <c r="E75" s="20" t="s">
        <v>80</v>
      </c>
      <c r="F75" s="20"/>
      <c r="G75" s="20"/>
      <c r="H75" s="20"/>
      <c r="I75" s="21" t="s">
        <v>91</v>
      </c>
      <c r="J75" s="12">
        <f>'ENTER DATA HERE'!D44</f>
        <v>0</v>
      </c>
      <c r="K75" s="12">
        <f>J75*'ENTER DATA HERE'!Q44</f>
        <v>0</v>
      </c>
      <c r="L75" t="s">
        <v>5</v>
      </c>
    </row>
    <row r="76" spans="5:12" x14ac:dyDescent="0.25">
      <c r="E76" s="20" t="s">
        <v>84</v>
      </c>
      <c r="F76" s="20"/>
      <c r="G76" s="20"/>
      <c r="H76" s="20"/>
      <c r="I76" s="21" t="s">
        <v>91</v>
      </c>
      <c r="J76" s="12">
        <f>'ENTER DATA HERE'!D45</f>
        <v>0</v>
      </c>
      <c r="K76" s="12">
        <f>J76*'ENTER DATA HERE'!Q45</f>
        <v>0</v>
      </c>
      <c r="L76" t="s">
        <v>5</v>
      </c>
    </row>
    <row r="77" spans="5:12" x14ac:dyDescent="0.25">
      <c r="E77" s="20" t="s">
        <v>69</v>
      </c>
      <c r="F77" s="20"/>
      <c r="G77" s="20"/>
      <c r="H77" s="20"/>
      <c r="I77" s="21" t="s">
        <v>92</v>
      </c>
      <c r="J77" s="12">
        <f>'ENTER DATA HERE'!E31</f>
        <v>0</v>
      </c>
      <c r="K77" s="12">
        <f>J77*'ENTER DATA HERE'!P31</f>
        <v>0</v>
      </c>
      <c r="L77" t="s">
        <v>5</v>
      </c>
    </row>
    <row r="78" spans="5:12" x14ac:dyDescent="0.25">
      <c r="E78" s="20" t="s">
        <v>70</v>
      </c>
      <c r="F78" s="20"/>
      <c r="G78" s="20"/>
      <c r="H78" s="20"/>
      <c r="I78" s="21" t="s">
        <v>92</v>
      </c>
      <c r="J78" s="12">
        <f>'ENTER DATA HERE'!E32</f>
        <v>0</v>
      </c>
      <c r="K78" s="12">
        <f>J78*'ENTER DATA HERE'!P32</f>
        <v>0</v>
      </c>
      <c r="L78" t="s">
        <v>5</v>
      </c>
    </row>
    <row r="79" spans="5:12" x14ac:dyDescent="0.25">
      <c r="E79" s="20" t="s">
        <v>71</v>
      </c>
      <c r="F79" s="20"/>
      <c r="G79" s="20"/>
      <c r="H79" s="20"/>
      <c r="I79" s="21" t="s">
        <v>92</v>
      </c>
      <c r="J79" s="12">
        <f>'ENTER DATA HERE'!E33</f>
        <v>0</v>
      </c>
      <c r="K79" s="12">
        <f>J79*'ENTER DATA HERE'!P33</f>
        <v>0</v>
      </c>
      <c r="L79" t="s">
        <v>5</v>
      </c>
    </row>
    <row r="80" spans="5:12" x14ac:dyDescent="0.25">
      <c r="E80" s="20" t="s">
        <v>72</v>
      </c>
      <c r="F80" s="20"/>
      <c r="G80" s="20"/>
      <c r="H80" s="20"/>
      <c r="I80" s="21" t="s">
        <v>92</v>
      </c>
      <c r="J80" s="12">
        <f>'ENTER DATA HERE'!E34</f>
        <v>0</v>
      </c>
      <c r="K80" s="12">
        <f>J80*'ENTER DATA HERE'!P34</f>
        <v>0</v>
      </c>
      <c r="L80" t="s">
        <v>5</v>
      </c>
    </row>
    <row r="81" spans="5:12" x14ac:dyDescent="0.25">
      <c r="E81" s="20" t="s">
        <v>73</v>
      </c>
      <c r="F81" s="20"/>
      <c r="G81" s="20"/>
      <c r="H81" s="20"/>
      <c r="I81" s="21" t="s">
        <v>92</v>
      </c>
      <c r="J81" s="12">
        <f>'ENTER DATA HERE'!E35</f>
        <v>0</v>
      </c>
      <c r="K81" s="12">
        <f>J81*'ENTER DATA HERE'!P35</f>
        <v>0</v>
      </c>
      <c r="L81" t="s">
        <v>5</v>
      </c>
    </row>
    <row r="82" spans="5:12" x14ac:dyDescent="0.25">
      <c r="E82" s="20" t="s">
        <v>82</v>
      </c>
      <c r="F82" s="20"/>
      <c r="G82" s="20"/>
      <c r="H82" s="20"/>
      <c r="I82" s="21" t="s">
        <v>92</v>
      </c>
      <c r="J82" s="12">
        <f>'ENTER DATA HERE'!E36</f>
        <v>0</v>
      </c>
      <c r="K82" s="12">
        <f>J82*'ENTER DATA HERE'!P36</f>
        <v>0</v>
      </c>
      <c r="L82" t="s">
        <v>5</v>
      </c>
    </row>
    <row r="83" spans="5:12" x14ac:dyDescent="0.25">
      <c r="E83" s="20" t="s">
        <v>83</v>
      </c>
      <c r="F83" s="20"/>
      <c r="G83" s="20"/>
      <c r="H83" s="20"/>
      <c r="I83" s="21" t="s">
        <v>92</v>
      </c>
      <c r="J83" s="12">
        <f>'ENTER DATA HERE'!E37</f>
        <v>0</v>
      </c>
      <c r="K83" s="12">
        <f>J83*'ENTER DATA HERE'!P37</f>
        <v>0</v>
      </c>
      <c r="L83" t="s">
        <v>5</v>
      </c>
    </row>
    <row r="84" spans="5:12" x14ac:dyDescent="0.25">
      <c r="E84" s="20" t="s">
        <v>74</v>
      </c>
      <c r="F84" s="20"/>
      <c r="G84" s="20"/>
      <c r="H84" s="20"/>
      <c r="I84" s="21" t="s">
        <v>92</v>
      </c>
      <c r="J84" s="12">
        <f>'ENTER DATA HERE'!E38</f>
        <v>0</v>
      </c>
      <c r="K84" s="12">
        <f>J84*'ENTER DATA HERE'!P38</f>
        <v>0</v>
      </c>
      <c r="L84" t="s">
        <v>5</v>
      </c>
    </row>
    <row r="85" spans="5:12" x14ac:dyDescent="0.25">
      <c r="E85" s="20" t="s">
        <v>75</v>
      </c>
      <c r="F85" s="20"/>
      <c r="G85" s="20"/>
      <c r="H85" s="20"/>
      <c r="I85" s="21" t="s">
        <v>92</v>
      </c>
      <c r="J85" s="12">
        <f>'ENTER DATA HERE'!E39</f>
        <v>0</v>
      </c>
      <c r="K85" s="12">
        <f>J85*'ENTER DATA HERE'!P39</f>
        <v>0</v>
      </c>
      <c r="L85" t="s">
        <v>5</v>
      </c>
    </row>
    <row r="86" spans="5:12" x14ac:dyDescent="0.25">
      <c r="E86" s="20" t="s">
        <v>76</v>
      </c>
      <c r="F86" s="20"/>
      <c r="G86" s="20"/>
      <c r="H86" s="20"/>
      <c r="I86" s="21" t="s">
        <v>92</v>
      </c>
      <c r="J86" s="12">
        <f>'ENTER DATA HERE'!E40</f>
        <v>0</v>
      </c>
      <c r="K86" s="12">
        <f>J86*'ENTER DATA HERE'!P40</f>
        <v>0</v>
      </c>
      <c r="L86" t="s">
        <v>5</v>
      </c>
    </row>
    <row r="87" spans="5:12" x14ac:dyDescent="0.25">
      <c r="E87" s="20" t="s">
        <v>77</v>
      </c>
      <c r="F87" s="20"/>
      <c r="G87" s="20"/>
      <c r="H87" s="20"/>
      <c r="I87" s="21" t="s">
        <v>92</v>
      </c>
      <c r="J87" s="12">
        <f>'ENTER DATA HERE'!E41</f>
        <v>0</v>
      </c>
      <c r="K87" s="12">
        <f>J87*'ENTER DATA HERE'!P41</f>
        <v>0</v>
      </c>
      <c r="L87" t="s">
        <v>5</v>
      </c>
    </row>
    <row r="88" spans="5:12" x14ac:dyDescent="0.25">
      <c r="E88" s="20" t="s">
        <v>78</v>
      </c>
      <c r="F88" s="20"/>
      <c r="G88" s="20"/>
      <c r="H88" s="20"/>
      <c r="I88" s="21" t="s">
        <v>92</v>
      </c>
      <c r="J88" s="12">
        <f>'ENTER DATA HERE'!E42</f>
        <v>0</v>
      </c>
      <c r="K88" s="12">
        <f>J88*'ENTER DATA HERE'!P42</f>
        <v>0</v>
      </c>
      <c r="L88" t="s">
        <v>5</v>
      </c>
    </row>
    <row r="89" spans="5:12" x14ac:dyDescent="0.25">
      <c r="E89" s="20" t="s">
        <v>79</v>
      </c>
      <c r="F89" s="20"/>
      <c r="G89" s="20"/>
      <c r="H89" s="20"/>
      <c r="I89" s="21" t="s">
        <v>92</v>
      </c>
      <c r="J89" s="12">
        <f>'ENTER DATA HERE'!E43</f>
        <v>0</v>
      </c>
      <c r="K89" s="12">
        <f>J89*'ENTER DATA HERE'!P43</f>
        <v>0</v>
      </c>
      <c r="L89" t="s">
        <v>5</v>
      </c>
    </row>
    <row r="90" spans="5:12" x14ac:dyDescent="0.25">
      <c r="E90" s="20" t="s">
        <v>80</v>
      </c>
      <c r="F90" s="20"/>
      <c r="G90" s="20"/>
      <c r="H90" s="20"/>
      <c r="I90" s="21" t="s">
        <v>92</v>
      </c>
      <c r="J90" s="12">
        <f>'ENTER DATA HERE'!E44</f>
        <v>0</v>
      </c>
      <c r="K90" s="12">
        <f>J90*'ENTER DATA HERE'!P44</f>
        <v>0</v>
      </c>
      <c r="L90" t="s">
        <v>5</v>
      </c>
    </row>
    <row r="91" spans="5:12" x14ac:dyDescent="0.25">
      <c r="E91" s="20" t="s">
        <v>84</v>
      </c>
      <c r="F91" s="20"/>
      <c r="G91" s="20"/>
      <c r="H91" s="20"/>
      <c r="I91" s="21" t="s">
        <v>92</v>
      </c>
      <c r="J91" s="12">
        <f>'ENTER DATA HERE'!E45</f>
        <v>0</v>
      </c>
      <c r="K91" s="12">
        <f>J91*'ENTER DATA HERE'!P45</f>
        <v>0</v>
      </c>
      <c r="L91" t="s">
        <v>5</v>
      </c>
    </row>
    <row r="92" spans="5:12" x14ac:dyDescent="0.25">
      <c r="E92" s="20" t="s">
        <v>69</v>
      </c>
      <c r="F92" s="20"/>
      <c r="G92" s="20"/>
      <c r="H92" s="20"/>
      <c r="I92" s="21" t="s">
        <v>88</v>
      </c>
      <c r="J92" s="12">
        <f>'ENTER DATA HERE'!F31</f>
        <v>0</v>
      </c>
      <c r="K92" s="12">
        <f>J92*'ENTER DATA HERE'!Q31</f>
        <v>0</v>
      </c>
      <c r="L92" t="s">
        <v>5</v>
      </c>
    </row>
    <row r="93" spans="5:12" x14ac:dyDescent="0.25">
      <c r="E93" s="20" t="s">
        <v>70</v>
      </c>
      <c r="F93" s="20"/>
      <c r="G93" s="20"/>
      <c r="H93" s="20"/>
      <c r="I93" s="21" t="s">
        <v>88</v>
      </c>
      <c r="J93" s="12">
        <f>'ENTER DATA HERE'!F32</f>
        <v>0</v>
      </c>
      <c r="K93" s="12">
        <f>J93*'ENTER DATA HERE'!Q32</f>
        <v>0</v>
      </c>
      <c r="L93" t="s">
        <v>5</v>
      </c>
    </row>
    <row r="94" spans="5:12" x14ac:dyDescent="0.25">
      <c r="E94" s="20" t="s">
        <v>71</v>
      </c>
      <c r="F94" s="20"/>
      <c r="G94" s="20"/>
      <c r="H94" s="20"/>
      <c r="I94" s="21" t="s">
        <v>88</v>
      </c>
      <c r="J94" s="12">
        <f>'ENTER DATA HERE'!F33</f>
        <v>0</v>
      </c>
      <c r="K94" s="12">
        <f>J94*'ENTER DATA HERE'!Q33</f>
        <v>0</v>
      </c>
      <c r="L94" t="s">
        <v>5</v>
      </c>
    </row>
    <row r="95" spans="5:12" x14ac:dyDescent="0.25">
      <c r="E95" s="20" t="s">
        <v>72</v>
      </c>
      <c r="F95" s="20"/>
      <c r="G95" s="20"/>
      <c r="H95" s="20"/>
      <c r="I95" s="21" t="s">
        <v>88</v>
      </c>
      <c r="J95" s="12">
        <f>'ENTER DATA HERE'!F34</f>
        <v>1</v>
      </c>
      <c r="K95" s="12">
        <f>J95*'ENTER DATA HERE'!Q34</f>
        <v>3.1</v>
      </c>
      <c r="L95" t="s">
        <v>5</v>
      </c>
    </row>
    <row r="96" spans="5:12" x14ac:dyDescent="0.25">
      <c r="E96" s="20" t="s">
        <v>73</v>
      </c>
      <c r="F96" s="20"/>
      <c r="G96" s="20"/>
      <c r="H96" s="20"/>
      <c r="I96" s="21" t="s">
        <v>88</v>
      </c>
      <c r="J96" s="12">
        <f>'ENTER DATA HERE'!F35</f>
        <v>2</v>
      </c>
      <c r="K96" s="12">
        <f>J96*'ENTER DATA HERE'!Q35</f>
        <v>30</v>
      </c>
      <c r="L96" t="s">
        <v>5</v>
      </c>
    </row>
    <row r="97" spans="5:12" x14ac:dyDescent="0.25">
      <c r="E97" s="20" t="s">
        <v>82</v>
      </c>
      <c r="F97" s="20"/>
      <c r="G97" s="20"/>
      <c r="H97" s="20"/>
      <c r="I97" s="21" t="s">
        <v>88</v>
      </c>
      <c r="J97" s="12">
        <f>'ENTER DATA HERE'!F36</f>
        <v>0</v>
      </c>
      <c r="K97" s="12">
        <f>J97*'ENTER DATA HERE'!Q36</f>
        <v>0</v>
      </c>
      <c r="L97" t="s">
        <v>5</v>
      </c>
    </row>
    <row r="98" spans="5:12" x14ac:dyDescent="0.25">
      <c r="E98" s="20" t="s">
        <v>83</v>
      </c>
      <c r="F98" s="20"/>
      <c r="G98" s="20"/>
      <c r="H98" s="20"/>
      <c r="I98" s="21" t="s">
        <v>88</v>
      </c>
      <c r="J98" s="12">
        <f>'ENTER DATA HERE'!F37</f>
        <v>0</v>
      </c>
      <c r="K98" s="12">
        <f>J98*'ENTER DATA HERE'!Q37</f>
        <v>0</v>
      </c>
      <c r="L98" t="s">
        <v>5</v>
      </c>
    </row>
    <row r="99" spans="5:12" x14ac:dyDescent="0.25">
      <c r="E99" s="20" t="s">
        <v>74</v>
      </c>
      <c r="F99" s="20"/>
      <c r="G99" s="20"/>
      <c r="H99" s="20"/>
      <c r="I99" s="21" t="s">
        <v>88</v>
      </c>
      <c r="J99" s="12">
        <f>'ENTER DATA HERE'!F38</f>
        <v>0</v>
      </c>
      <c r="K99" s="12">
        <f>J99*'ENTER DATA HERE'!Q38</f>
        <v>0</v>
      </c>
      <c r="L99" t="s">
        <v>5</v>
      </c>
    </row>
    <row r="100" spans="5:12" x14ac:dyDescent="0.25">
      <c r="E100" s="20" t="s">
        <v>75</v>
      </c>
      <c r="F100" s="20"/>
      <c r="G100" s="20"/>
      <c r="H100" s="20"/>
      <c r="I100" s="21" t="s">
        <v>88</v>
      </c>
      <c r="J100" s="12">
        <f>'ENTER DATA HERE'!F39</f>
        <v>2</v>
      </c>
      <c r="K100" s="12">
        <f>J100*'ENTER DATA HERE'!Q39</f>
        <v>5.2</v>
      </c>
      <c r="L100" t="s">
        <v>5</v>
      </c>
    </row>
    <row r="101" spans="5:12" x14ac:dyDescent="0.25">
      <c r="E101" s="20" t="s">
        <v>76</v>
      </c>
      <c r="F101" s="20"/>
      <c r="G101" s="20"/>
      <c r="H101" s="20"/>
      <c r="I101" s="21" t="s">
        <v>88</v>
      </c>
      <c r="J101" s="12">
        <f>'ENTER DATA HERE'!F40</f>
        <v>0</v>
      </c>
      <c r="K101" s="12">
        <f>J101*'ENTER DATA HERE'!Q40</f>
        <v>0</v>
      </c>
      <c r="L101" t="s">
        <v>5</v>
      </c>
    </row>
    <row r="102" spans="5:12" x14ac:dyDescent="0.25">
      <c r="E102" s="20" t="s">
        <v>77</v>
      </c>
      <c r="F102" s="20"/>
      <c r="G102" s="20"/>
      <c r="H102" s="20"/>
      <c r="I102" s="21" t="s">
        <v>88</v>
      </c>
      <c r="J102" s="12">
        <f>'ENTER DATA HERE'!F41</f>
        <v>1</v>
      </c>
      <c r="K102" s="12">
        <f>J102*'ENTER DATA HERE'!Q41</f>
        <v>52</v>
      </c>
      <c r="L102" t="s">
        <v>5</v>
      </c>
    </row>
    <row r="103" spans="5:12" x14ac:dyDescent="0.25">
      <c r="E103" s="20" t="s">
        <v>78</v>
      </c>
      <c r="F103" s="20"/>
      <c r="G103" s="20"/>
      <c r="H103" s="20"/>
      <c r="I103" s="21" t="s">
        <v>88</v>
      </c>
      <c r="J103" s="12">
        <f>'ENTER DATA HERE'!F42</f>
        <v>0</v>
      </c>
      <c r="K103" s="12">
        <v>0</v>
      </c>
      <c r="L103" t="s">
        <v>5</v>
      </c>
    </row>
    <row r="104" spans="5:12" x14ac:dyDescent="0.25">
      <c r="E104" s="20" t="s">
        <v>79</v>
      </c>
      <c r="F104" s="20"/>
      <c r="G104" s="20"/>
      <c r="H104" s="20"/>
      <c r="I104" s="21" t="s">
        <v>88</v>
      </c>
      <c r="J104" s="12">
        <f>'ENTER DATA HERE'!F43</f>
        <v>0</v>
      </c>
      <c r="K104" s="12">
        <f>J104*'ENTER DATA HERE'!Q43</f>
        <v>0</v>
      </c>
      <c r="L104" t="s">
        <v>5</v>
      </c>
    </row>
    <row r="105" spans="5:12" x14ac:dyDescent="0.25">
      <c r="E105" s="20" t="s">
        <v>80</v>
      </c>
      <c r="F105" s="20"/>
      <c r="G105" s="20"/>
      <c r="H105" s="20"/>
      <c r="I105" s="21" t="s">
        <v>88</v>
      </c>
      <c r="J105" s="12">
        <f>'ENTER DATA HERE'!F44</f>
        <v>0</v>
      </c>
      <c r="K105" s="12">
        <f>J105*'ENTER DATA HERE'!Q44</f>
        <v>0</v>
      </c>
      <c r="L105" t="s">
        <v>5</v>
      </c>
    </row>
    <row r="106" spans="5:12" x14ac:dyDescent="0.25">
      <c r="E106" s="20" t="s">
        <v>84</v>
      </c>
      <c r="F106" s="20"/>
      <c r="G106" s="20"/>
      <c r="H106" s="20"/>
      <c r="I106" s="21" t="s">
        <v>88</v>
      </c>
      <c r="J106" s="12">
        <f>'ENTER DATA HERE'!F45</f>
        <v>0</v>
      </c>
      <c r="K106" s="12">
        <f>J106*'ENTER DATA HERE'!Q45</f>
        <v>0</v>
      </c>
      <c r="L106" t="s">
        <v>5</v>
      </c>
    </row>
    <row r="107" spans="5:12" x14ac:dyDescent="0.25">
      <c r="E107" s="20" t="s">
        <v>69</v>
      </c>
      <c r="F107" s="20"/>
      <c r="G107" s="20"/>
      <c r="H107" s="20"/>
      <c r="I107" s="21" t="s">
        <v>93</v>
      </c>
      <c r="J107" s="12">
        <f>'ENTER DATA HERE'!G31</f>
        <v>0</v>
      </c>
      <c r="K107" s="12">
        <f>J107*'ENTER DATA HERE'!R31</f>
        <v>0</v>
      </c>
      <c r="L107" t="s">
        <v>5</v>
      </c>
    </row>
    <row r="108" spans="5:12" x14ac:dyDescent="0.25">
      <c r="E108" s="20" t="s">
        <v>70</v>
      </c>
      <c r="F108" s="20"/>
      <c r="G108" s="20"/>
      <c r="H108" s="20"/>
      <c r="I108" s="21" t="s">
        <v>93</v>
      </c>
      <c r="J108" s="12">
        <f>'ENTER DATA HERE'!G32</f>
        <v>0</v>
      </c>
      <c r="K108" s="12">
        <f>J108*'ENTER DATA HERE'!R32</f>
        <v>0</v>
      </c>
      <c r="L108" t="s">
        <v>5</v>
      </c>
    </row>
    <row r="109" spans="5:12" x14ac:dyDescent="0.25">
      <c r="E109" s="20" t="s">
        <v>71</v>
      </c>
      <c r="F109" s="20"/>
      <c r="G109" s="20"/>
      <c r="H109" s="20"/>
      <c r="I109" s="21" t="s">
        <v>93</v>
      </c>
      <c r="J109" s="12">
        <f>'ENTER DATA HERE'!G33</f>
        <v>0</v>
      </c>
      <c r="K109" s="12">
        <f>J109*'ENTER DATA HERE'!R33</f>
        <v>0</v>
      </c>
      <c r="L109" t="s">
        <v>5</v>
      </c>
    </row>
    <row r="110" spans="5:12" x14ac:dyDescent="0.25">
      <c r="E110" s="20" t="s">
        <v>72</v>
      </c>
      <c r="F110" s="20"/>
      <c r="G110" s="20"/>
      <c r="H110" s="20"/>
      <c r="I110" s="21" t="s">
        <v>93</v>
      </c>
      <c r="J110" s="12">
        <f>'ENTER DATA HERE'!G34</f>
        <v>0</v>
      </c>
      <c r="K110" s="12">
        <f>J110*'ENTER DATA HERE'!R34</f>
        <v>0</v>
      </c>
      <c r="L110" t="s">
        <v>5</v>
      </c>
    </row>
    <row r="111" spans="5:12" x14ac:dyDescent="0.25">
      <c r="E111" s="20" t="s">
        <v>73</v>
      </c>
      <c r="F111" s="20"/>
      <c r="G111" s="20"/>
      <c r="H111" s="20"/>
      <c r="I111" s="21" t="s">
        <v>93</v>
      </c>
      <c r="J111" s="12">
        <f>'ENTER DATA HERE'!G35</f>
        <v>0</v>
      </c>
      <c r="K111" s="12">
        <f>J111*'ENTER DATA HERE'!R35</f>
        <v>0</v>
      </c>
      <c r="L111" t="s">
        <v>5</v>
      </c>
    </row>
    <row r="112" spans="5:12" x14ac:dyDescent="0.25">
      <c r="E112" s="20" t="s">
        <v>82</v>
      </c>
      <c r="F112" s="20"/>
      <c r="G112" s="20"/>
      <c r="H112" s="20"/>
      <c r="I112" s="21" t="s">
        <v>93</v>
      </c>
      <c r="J112" s="12">
        <f>'ENTER DATA HERE'!G36</f>
        <v>0</v>
      </c>
      <c r="K112" s="12">
        <f>J112*'ENTER DATA HERE'!R36</f>
        <v>0</v>
      </c>
      <c r="L112" t="s">
        <v>5</v>
      </c>
    </row>
    <row r="113" spans="5:12" x14ac:dyDescent="0.25">
      <c r="E113" s="20" t="s">
        <v>83</v>
      </c>
      <c r="F113" s="20"/>
      <c r="G113" s="20"/>
      <c r="H113" s="20"/>
      <c r="I113" s="21" t="s">
        <v>93</v>
      </c>
      <c r="J113" s="12">
        <f>'ENTER DATA HERE'!G37</f>
        <v>0</v>
      </c>
      <c r="K113" s="12">
        <f>J113*'ENTER DATA HERE'!R37</f>
        <v>0</v>
      </c>
      <c r="L113" t="s">
        <v>5</v>
      </c>
    </row>
    <row r="114" spans="5:12" x14ac:dyDescent="0.25">
      <c r="E114" s="20" t="s">
        <v>74</v>
      </c>
      <c r="F114" s="20"/>
      <c r="G114" s="20"/>
      <c r="H114" s="20"/>
      <c r="I114" s="21" t="s">
        <v>93</v>
      </c>
      <c r="J114" s="12">
        <f>'ENTER DATA HERE'!G38</f>
        <v>0</v>
      </c>
      <c r="K114" s="12">
        <f>J114*'ENTER DATA HERE'!R38</f>
        <v>0</v>
      </c>
      <c r="L114" t="s">
        <v>5</v>
      </c>
    </row>
    <row r="115" spans="5:12" x14ac:dyDescent="0.25">
      <c r="E115" s="20" t="s">
        <v>75</v>
      </c>
      <c r="F115" s="20"/>
      <c r="G115" s="20"/>
      <c r="H115" s="20"/>
      <c r="I115" s="21" t="s">
        <v>93</v>
      </c>
      <c r="J115" s="12">
        <f>'ENTER DATA HERE'!G39</f>
        <v>0</v>
      </c>
      <c r="K115" s="12">
        <f>J115*'ENTER DATA HERE'!R39</f>
        <v>0</v>
      </c>
      <c r="L115" t="s">
        <v>5</v>
      </c>
    </row>
    <row r="116" spans="5:12" x14ac:dyDescent="0.25">
      <c r="E116" s="20" t="s">
        <v>76</v>
      </c>
      <c r="F116" s="20"/>
      <c r="G116" s="20"/>
      <c r="H116" s="20"/>
      <c r="I116" s="21" t="s">
        <v>93</v>
      </c>
      <c r="J116" s="12">
        <f>'ENTER DATA HERE'!G40</f>
        <v>0</v>
      </c>
      <c r="K116" s="12">
        <f>J116*'ENTER DATA HERE'!R40</f>
        <v>0</v>
      </c>
      <c r="L116" t="s">
        <v>5</v>
      </c>
    </row>
    <row r="117" spans="5:12" x14ac:dyDescent="0.25">
      <c r="E117" s="20" t="s">
        <v>77</v>
      </c>
      <c r="F117" s="20"/>
      <c r="G117" s="20"/>
      <c r="H117" s="20"/>
      <c r="I117" s="21" t="s">
        <v>93</v>
      </c>
      <c r="J117" s="12">
        <f>'ENTER DATA HERE'!G41</f>
        <v>0</v>
      </c>
      <c r="K117" s="12">
        <f>J117*'ENTER DATA HERE'!R41</f>
        <v>0</v>
      </c>
      <c r="L117" t="s">
        <v>5</v>
      </c>
    </row>
    <row r="118" spans="5:12" x14ac:dyDescent="0.25">
      <c r="E118" s="20" t="s">
        <v>78</v>
      </c>
      <c r="F118" s="20"/>
      <c r="G118" s="20"/>
      <c r="H118" s="20"/>
      <c r="I118" s="21" t="s">
        <v>93</v>
      </c>
      <c r="J118" s="12">
        <f>'ENTER DATA HERE'!G42</f>
        <v>0</v>
      </c>
      <c r="K118" s="12">
        <v>0</v>
      </c>
      <c r="L118" t="s">
        <v>5</v>
      </c>
    </row>
    <row r="119" spans="5:12" x14ac:dyDescent="0.25">
      <c r="E119" s="20" t="s">
        <v>79</v>
      </c>
      <c r="F119" s="20"/>
      <c r="G119" s="20"/>
      <c r="H119" s="20"/>
      <c r="I119" s="21" t="s">
        <v>93</v>
      </c>
      <c r="J119" s="12">
        <f>'ENTER DATA HERE'!G43</f>
        <v>0</v>
      </c>
      <c r="K119" s="12">
        <f>J119*'ENTER DATA HERE'!R43</f>
        <v>0</v>
      </c>
      <c r="L119" t="s">
        <v>5</v>
      </c>
    </row>
    <row r="120" spans="5:12" x14ac:dyDescent="0.25">
      <c r="E120" s="20" t="s">
        <v>80</v>
      </c>
      <c r="F120" s="20"/>
      <c r="G120" s="20"/>
      <c r="H120" s="20"/>
      <c r="I120" s="21" t="s">
        <v>93</v>
      </c>
      <c r="J120" s="12">
        <f>'ENTER DATA HERE'!G44</f>
        <v>0</v>
      </c>
      <c r="K120" s="12">
        <f>J120*'ENTER DATA HERE'!R44</f>
        <v>0</v>
      </c>
      <c r="L120" t="s">
        <v>5</v>
      </c>
    </row>
    <row r="121" spans="5:12" x14ac:dyDescent="0.25">
      <c r="E121" s="20" t="s">
        <v>84</v>
      </c>
      <c r="F121" s="20"/>
      <c r="G121" s="20"/>
      <c r="H121" s="20"/>
      <c r="I121" s="21" t="s">
        <v>93</v>
      </c>
      <c r="J121" s="12">
        <f>'ENTER DATA HERE'!G45</f>
        <v>0</v>
      </c>
      <c r="K121" s="12">
        <f>J121*'ENTER DATA HERE'!R45</f>
        <v>0</v>
      </c>
      <c r="L121" t="s">
        <v>5</v>
      </c>
    </row>
    <row r="122" spans="5:12" x14ac:dyDescent="0.25">
      <c r="E122" s="20" t="s">
        <v>69</v>
      </c>
      <c r="F122" s="20"/>
      <c r="G122" s="20"/>
      <c r="H122" s="20"/>
      <c r="I122" s="21" t="s">
        <v>94</v>
      </c>
      <c r="J122" s="12">
        <f>'ENTER DATA HERE'!H31</f>
        <v>0</v>
      </c>
      <c r="K122" s="12">
        <f>J122*'ENTER DATA HERE'!S31</f>
        <v>0</v>
      </c>
      <c r="L122" t="s">
        <v>5</v>
      </c>
    </row>
    <row r="123" spans="5:12" x14ac:dyDescent="0.25">
      <c r="E123" s="20" t="s">
        <v>70</v>
      </c>
      <c r="F123" s="20"/>
      <c r="G123" s="20"/>
      <c r="H123" s="20"/>
      <c r="I123" s="21" t="s">
        <v>94</v>
      </c>
      <c r="J123" s="12">
        <f>'ENTER DATA HERE'!H32</f>
        <v>1</v>
      </c>
      <c r="K123" s="12">
        <f>J123*'ENTER DATA HERE'!S32</f>
        <v>6.8</v>
      </c>
      <c r="L123" t="s">
        <v>5</v>
      </c>
    </row>
    <row r="124" spans="5:12" x14ac:dyDescent="0.25">
      <c r="E124" s="20" t="s">
        <v>71</v>
      </c>
      <c r="F124" s="20"/>
      <c r="G124" s="20"/>
      <c r="H124" s="20"/>
      <c r="I124" s="21" t="s">
        <v>94</v>
      </c>
      <c r="J124" s="12">
        <f>'ENTER DATA HERE'!H33</f>
        <v>0</v>
      </c>
      <c r="K124" s="12">
        <f>J124*'ENTER DATA HERE'!S33</f>
        <v>0</v>
      </c>
      <c r="L124" t="s">
        <v>5</v>
      </c>
    </row>
    <row r="125" spans="5:12" x14ac:dyDescent="0.25">
      <c r="E125" s="20" t="s">
        <v>72</v>
      </c>
      <c r="F125" s="20"/>
      <c r="G125" s="20"/>
      <c r="H125" s="20"/>
      <c r="I125" s="21" t="s">
        <v>94</v>
      </c>
      <c r="J125" s="12">
        <f>'ENTER DATA HERE'!H34</f>
        <v>0</v>
      </c>
      <c r="K125" s="12">
        <f>J125*'ENTER DATA HERE'!S34</f>
        <v>0</v>
      </c>
      <c r="L125" t="s">
        <v>5</v>
      </c>
    </row>
    <row r="126" spans="5:12" x14ac:dyDescent="0.25">
      <c r="E126" s="20" t="s">
        <v>73</v>
      </c>
      <c r="F126" s="20"/>
      <c r="G126" s="20"/>
      <c r="H126" s="20"/>
      <c r="I126" s="21" t="s">
        <v>94</v>
      </c>
      <c r="J126" s="12">
        <f>'ENTER DATA HERE'!H35</f>
        <v>3</v>
      </c>
      <c r="K126" s="12">
        <f>J126*'ENTER DATA HERE'!S35</f>
        <v>75</v>
      </c>
      <c r="L126" t="s">
        <v>5</v>
      </c>
    </row>
    <row r="127" spans="5:12" x14ac:dyDescent="0.25">
      <c r="E127" s="20" t="s">
        <v>82</v>
      </c>
      <c r="F127" s="20"/>
      <c r="G127" s="20"/>
      <c r="H127" s="20"/>
      <c r="I127" s="21" t="s">
        <v>94</v>
      </c>
      <c r="J127" s="12">
        <f>'ENTER DATA HERE'!H36</f>
        <v>0</v>
      </c>
      <c r="K127" s="12">
        <f>J127*'ENTER DATA HERE'!S36</f>
        <v>0</v>
      </c>
      <c r="L127" t="s">
        <v>5</v>
      </c>
    </row>
    <row r="128" spans="5:12" x14ac:dyDescent="0.25">
      <c r="E128" s="20" t="s">
        <v>83</v>
      </c>
      <c r="F128" s="20"/>
      <c r="G128" s="20"/>
      <c r="H128" s="20"/>
      <c r="I128" s="21" t="s">
        <v>94</v>
      </c>
      <c r="J128" s="12">
        <f>'ENTER DATA HERE'!H37</f>
        <v>0</v>
      </c>
      <c r="K128" s="12">
        <f>J128*'ENTER DATA HERE'!S37</f>
        <v>0</v>
      </c>
      <c r="L128" t="s">
        <v>5</v>
      </c>
    </row>
    <row r="129" spans="5:12" x14ac:dyDescent="0.25">
      <c r="E129" s="20" t="s">
        <v>74</v>
      </c>
      <c r="F129" s="20"/>
      <c r="G129" s="20"/>
      <c r="H129" s="20"/>
      <c r="I129" s="21" t="s">
        <v>94</v>
      </c>
      <c r="J129" s="12">
        <f>'ENTER DATA HERE'!H38</f>
        <v>0</v>
      </c>
      <c r="K129" s="12">
        <f>J129*'ENTER DATA HERE'!S38</f>
        <v>0</v>
      </c>
      <c r="L129" t="s">
        <v>5</v>
      </c>
    </row>
    <row r="130" spans="5:12" x14ac:dyDescent="0.25">
      <c r="E130" s="20" t="s">
        <v>75</v>
      </c>
      <c r="F130" s="20"/>
      <c r="G130" s="20"/>
      <c r="H130" s="20"/>
      <c r="I130" s="21" t="s">
        <v>94</v>
      </c>
      <c r="J130" s="12">
        <f>'ENTER DATA HERE'!H39</f>
        <v>0</v>
      </c>
      <c r="K130" s="12">
        <f>J130*'ENTER DATA HERE'!S39</f>
        <v>0</v>
      </c>
      <c r="L130" t="s">
        <v>5</v>
      </c>
    </row>
    <row r="131" spans="5:12" x14ac:dyDescent="0.25">
      <c r="E131" s="20" t="s">
        <v>76</v>
      </c>
      <c r="F131" s="20"/>
      <c r="G131" s="20"/>
      <c r="H131" s="20"/>
      <c r="I131" s="21" t="s">
        <v>94</v>
      </c>
      <c r="J131" s="12">
        <f>'ENTER DATA HERE'!H40</f>
        <v>0</v>
      </c>
      <c r="K131" s="12">
        <f>J131*'ENTER DATA HERE'!S40</f>
        <v>0</v>
      </c>
      <c r="L131" t="s">
        <v>5</v>
      </c>
    </row>
    <row r="132" spans="5:12" x14ac:dyDescent="0.25">
      <c r="E132" s="20" t="s">
        <v>77</v>
      </c>
      <c r="F132" s="20"/>
      <c r="G132" s="20"/>
      <c r="H132" s="20"/>
      <c r="I132" s="21" t="s">
        <v>94</v>
      </c>
      <c r="J132" s="12">
        <f>'ENTER DATA HERE'!H41</f>
        <v>0</v>
      </c>
      <c r="K132" s="12">
        <f>J132*'ENTER DATA HERE'!S41</f>
        <v>0</v>
      </c>
      <c r="L132" t="s">
        <v>5</v>
      </c>
    </row>
    <row r="133" spans="5:12" x14ac:dyDescent="0.25">
      <c r="E133" s="20" t="s">
        <v>78</v>
      </c>
      <c r="F133" s="20"/>
      <c r="G133" s="20"/>
      <c r="H133" s="20"/>
      <c r="I133" s="21" t="s">
        <v>94</v>
      </c>
      <c r="J133" s="12">
        <f>'ENTER DATA HERE'!H42</f>
        <v>0</v>
      </c>
      <c r="K133" s="12">
        <v>0</v>
      </c>
      <c r="L133" t="s">
        <v>5</v>
      </c>
    </row>
    <row r="134" spans="5:12" x14ac:dyDescent="0.25">
      <c r="E134" s="20" t="s">
        <v>79</v>
      </c>
      <c r="F134" s="20"/>
      <c r="G134" s="20"/>
      <c r="H134" s="20"/>
      <c r="I134" s="21" t="s">
        <v>94</v>
      </c>
      <c r="J134" s="12">
        <f>'ENTER DATA HERE'!H43</f>
        <v>0</v>
      </c>
      <c r="K134" s="12">
        <f>J134*'ENTER DATA HERE'!S43</f>
        <v>0</v>
      </c>
      <c r="L134" t="s">
        <v>5</v>
      </c>
    </row>
    <row r="135" spans="5:12" x14ac:dyDescent="0.25">
      <c r="E135" s="20" t="s">
        <v>80</v>
      </c>
      <c r="F135" s="20"/>
      <c r="G135" s="20"/>
      <c r="H135" s="20"/>
      <c r="I135" s="21" t="s">
        <v>94</v>
      </c>
      <c r="J135" s="12">
        <f>'ENTER DATA HERE'!H44</f>
        <v>0</v>
      </c>
      <c r="K135" s="12">
        <f>J135*'ENTER DATA HERE'!S44</f>
        <v>0</v>
      </c>
      <c r="L135" t="s">
        <v>5</v>
      </c>
    </row>
    <row r="136" spans="5:12" x14ac:dyDescent="0.25">
      <c r="E136" s="20" t="s">
        <v>84</v>
      </c>
      <c r="F136" s="20"/>
      <c r="G136" s="20"/>
      <c r="H136" s="20"/>
      <c r="I136" s="21" t="s">
        <v>94</v>
      </c>
      <c r="J136" s="12">
        <f>'ENTER DATA HERE'!H45</f>
        <v>0</v>
      </c>
      <c r="K136" s="12">
        <f>J136*'ENTER DATA HERE'!S45</f>
        <v>0</v>
      </c>
      <c r="L136" t="s">
        <v>5</v>
      </c>
    </row>
    <row r="137" spans="5:12" x14ac:dyDescent="0.25">
      <c r="E137" s="20" t="s">
        <v>69</v>
      </c>
      <c r="F137" s="20"/>
      <c r="G137" s="20"/>
      <c r="H137" s="20"/>
      <c r="I137" s="21" t="s">
        <v>95</v>
      </c>
      <c r="J137" s="12">
        <f>'ENTER DATA HERE'!I31</f>
        <v>0</v>
      </c>
      <c r="K137" s="12">
        <f>J137*'ENTER DATA HERE'!T31</f>
        <v>0</v>
      </c>
      <c r="L137" t="s">
        <v>5</v>
      </c>
    </row>
    <row r="138" spans="5:12" x14ac:dyDescent="0.25">
      <c r="E138" s="20" t="s">
        <v>70</v>
      </c>
      <c r="F138" s="20"/>
      <c r="G138" s="20"/>
      <c r="H138" s="20"/>
      <c r="I138" s="21" t="s">
        <v>95</v>
      </c>
      <c r="J138" s="12">
        <f>'ENTER DATA HERE'!I32</f>
        <v>0</v>
      </c>
      <c r="K138" s="12">
        <f>J138*'ENTER DATA HERE'!T32</f>
        <v>0</v>
      </c>
      <c r="L138" t="s">
        <v>5</v>
      </c>
    </row>
    <row r="139" spans="5:12" x14ac:dyDescent="0.25">
      <c r="E139" s="20" t="s">
        <v>71</v>
      </c>
      <c r="F139" s="20"/>
      <c r="G139" s="20"/>
      <c r="H139" s="20"/>
      <c r="I139" s="21" t="s">
        <v>95</v>
      </c>
      <c r="J139" s="12">
        <f>'ENTER DATA HERE'!I33</f>
        <v>0</v>
      </c>
      <c r="K139" s="12">
        <f>J139*'ENTER DATA HERE'!T33</f>
        <v>0</v>
      </c>
      <c r="L139" t="s">
        <v>5</v>
      </c>
    </row>
    <row r="140" spans="5:12" x14ac:dyDescent="0.25">
      <c r="E140" s="20" t="s">
        <v>72</v>
      </c>
      <c r="F140" s="20"/>
      <c r="G140" s="20"/>
      <c r="H140" s="20"/>
      <c r="I140" s="21" t="s">
        <v>95</v>
      </c>
      <c r="J140" s="12">
        <f>'ENTER DATA HERE'!I34</f>
        <v>0</v>
      </c>
      <c r="K140" s="12">
        <f>J140*'ENTER DATA HERE'!T34</f>
        <v>0</v>
      </c>
      <c r="L140" t="s">
        <v>5</v>
      </c>
    </row>
    <row r="141" spans="5:12" x14ac:dyDescent="0.25">
      <c r="E141" s="20" t="s">
        <v>73</v>
      </c>
      <c r="F141" s="20"/>
      <c r="G141" s="20"/>
      <c r="H141" s="20"/>
      <c r="I141" s="21" t="s">
        <v>95</v>
      </c>
      <c r="J141" s="12">
        <f>'ENTER DATA HERE'!I35</f>
        <v>0</v>
      </c>
      <c r="K141" s="12">
        <f>J141*'ENTER DATA HERE'!T35</f>
        <v>0</v>
      </c>
      <c r="L141" t="s">
        <v>5</v>
      </c>
    </row>
    <row r="142" spans="5:12" x14ac:dyDescent="0.25">
      <c r="E142" s="20" t="s">
        <v>82</v>
      </c>
      <c r="F142" s="20"/>
      <c r="G142" s="20"/>
      <c r="H142" s="20"/>
      <c r="I142" s="21" t="s">
        <v>95</v>
      </c>
      <c r="J142" s="12">
        <f>'ENTER DATA HERE'!I36</f>
        <v>0</v>
      </c>
      <c r="K142" s="12">
        <f>J142*'ENTER DATA HERE'!T36</f>
        <v>0</v>
      </c>
      <c r="L142" t="s">
        <v>5</v>
      </c>
    </row>
    <row r="143" spans="5:12" x14ac:dyDescent="0.25">
      <c r="E143" s="20" t="s">
        <v>83</v>
      </c>
      <c r="F143" s="20"/>
      <c r="G143" s="20"/>
      <c r="H143" s="20"/>
      <c r="I143" s="21" t="s">
        <v>95</v>
      </c>
      <c r="J143" s="12">
        <f>'ENTER DATA HERE'!I37</f>
        <v>0</v>
      </c>
      <c r="K143" s="12">
        <f>J143*'ENTER DATA HERE'!T37</f>
        <v>0</v>
      </c>
      <c r="L143" t="s">
        <v>5</v>
      </c>
    </row>
    <row r="144" spans="5:12" x14ac:dyDescent="0.25">
      <c r="E144" s="20" t="s">
        <v>74</v>
      </c>
      <c r="F144" s="20"/>
      <c r="G144" s="20"/>
      <c r="H144" s="20"/>
      <c r="I144" s="21" t="s">
        <v>95</v>
      </c>
      <c r="J144" s="12">
        <f>'ENTER DATA HERE'!I38</f>
        <v>0</v>
      </c>
      <c r="K144" s="12">
        <f>J144*'ENTER DATA HERE'!T38</f>
        <v>0</v>
      </c>
      <c r="L144" t="s">
        <v>5</v>
      </c>
    </row>
    <row r="145" spans="5:12" x14ac:dyDescent="0.25">
      <c r="E145" s="20" t="s">
        <v>75</v>
      </c>
      <c r="F145" s="20"/>
      <c r="G145" s="20"/>
      <c r="H145" s="20"/>
      <c r="I145" s="21" t="s">
        <v>95</v>
      </c>
      <c r="J145" s="12">
        <f>'ENTER DATA HERE'!I39</f>
        <v>0</v>
      </c>
      <c r="K145" s="12">
        <f>J145*'ENTER DATA HERE'!T39</f>
        <v>0</v>
      </c>
      <c r="L145" t="s">
        <v>5</v>
      </c>
    </row>
    <row r="146" spans="5:12" x14ac:dyDescent="0.25">
      <c r="E146" s="20" t="s">
        <v>76</v>
      </c>
      <c r="F146" s="20"/>
      <c r="G146" s="20"/>
      <c r="H146" s="20"/>
      <c r="I146" s="21" t="s">
        <v>95</v>
      </c>
      <c r="J146" s="12">
        <f>'ENTER DATA HERE'!I40</f>
        <v>0</v>
      </c>
      <c r="K146" s="12">
        <f>J146*'ENTER DATA HERE'!T40</f>
        <v>0</v>
      </c>
      <c r="L146" t="s">
        <v>5</v>
      </c>
    </row>
    <row r="147" spans="5:12" x14ac:dyDescent="0.25">
      <c r="E147" s="20" t="s">
        <v>77</v>
      </c>
      <c r="F147" s="20"/>
      <c r="G147" s="20"/>
      <c r="H147" s="20"/>
      <c r="I147" s="21" t="s">
        <v>95</v>
      </c>
      <c r="J147" s="12">
        <f>'ENTER DATA HERE'!I41</f>
        <v>0</v>
      </c>
      <c r="K147" s="12">
        <f>J147*'ENTER DATA HERE'!T41</f>
        <v>0</v>
      </c>
      <c r="L147" t="s">
        <v>5</v>
      </c>
    </row>
    <row r="148" spans="5:12" x14ac:dyDescent="0.25">
      <c r="E148" s="20" t="s">
        <v>78</v>
      </c>
      <c r="F148" s="20"/>
      <c r="G148" s="20"/>
      <c r="H148" s="20"/>
      <c r="I148" s="21" t="s">
        <v>95</v>
      </c>
      <c r="J148" s="12">
        <f>'ENTER DATA HERE'!I42</f>
        <v>0</v>
      </c>
      <c r="K148" s="12">
        <v>0</v>
      </c>
      <c r="L148" t="s">
        <v>5</v>
      </c>
    </row>
    <row r="149" spans="5:12" x14ac:dyDescent="0.25">
      <c r="E149" s="20" t="s">
        <v>79</v>
      </c>
      <c r="F149" s="20"/>
      <c r="G149" s="20"/>
      <c r="H149" s="20"/>
      <c r="I149" s="21" t="s">
        <v>95</v>
      </c>
      <c r="J149" s="12">
        <f>'ENTER DATA HERE'!I43</f>
        <v>0</v>
      </c>
      <c r="K149" s="12">
        <f>J149*'ENTER DATA HERE'!T43</f>
        <v>0</v>
      </c>
      <c r="L149" t="s">
        <v>5</v>
      </c>
    </row>
    <row r="150" spans="5:12" x14ac:dyDescent="0.25">
      <c r="E150" s="20" t="s">
        <v>80</v>
      </c>
      <c r="F150" s="20"/>
      <c r="G150" s="20"/>
      <c r="H150" s="20"/>
      <c r="I150" s="21" t="s">
        <v>95</v>
      </c>
      <c r="J150" s="12">
        <f>'ENTER DATA HERE'!I44</f>
        <v>0</v>
      </c>
      <c r="K150" s="12">
        <f>J150*'ENTER DATA HERE'!T44</f>
        <v>0</v>
      </c>
      <c r="L150" t="s">
        <v>5</v>
      </c>
    </row>
    <row r="151" spans="5:12" x14ac:dyDescent="0.25">
      <c r="E151" s="20" t="s">
        <v>84</v>
      </c>
      <c r="F151" s="20"/>
      <c r="G151" s="20"/>
      <c r="H151" s="20"/>
      <c r="I151" s="21" t="s">
        <v>95</v>
      </c>
      <c r="J151" s="12">
        <f>'ENTER DATA HERE'!I45</f>
        <v>0</v>
      </c>
      <c r="K151" s="12">
        <f>J151*'ENTER DATA HERE'!T45</f>
        <v>0</v>
      </c>
      <c r="L151" t="s">
        <v>5</v>
      </c>
    </row>
    <row r="152" spans="5:12" x14ac:dyDescent="0.25">
      <c r="E152" s="20" t="s">
        <v>69</v>
      </c>
      <c r="F152" s="20"/>
      <c r="G152" s="20"/>
      <c r="H152" s="20"/>
      <c r="I152" s="21" t="s">
        <v>96</v>
      </c>
      <c r="J152" s="12">
        <f>'ENTER DATA HERE'!J31</f>
        <v>0</v>
      </c>
      <c r="K152" s="12">
        <f>J152*'ENTER DATA HERE'!U31</f>
        <v>0</v>
      </c>
      <c r="L152" t="s">
        <v>5</v>
      </c>
    </row>
    <row r="153" spans="5:12" x14ac:dyDescent="0.25">
      <c r="E153" s="20" t="s">
        <v>70</v>
      </c>
      <c r="F153" s="20"/>
      <c r="G153" s="20"/>
      <c r="H153" s="20"/>
      <c r="I153" s="21" t="s">
        <v>96</v>
      </c>
      <c r="J153" s="12">
        <f>'ENTER DATA HERE'!J32</f>
        <v>0</v>
      </c>
      <c r="K153" s="12">
        <f>J153*'ENTER DATA HERE'!U32</f>
        <v>0</v>
      </c>
      <c r="L153" t="s">
        <v>5</v>
      </c>
    </row>
    <row r="154" spans="5:12" x14ac:dyDescent="0.25">
      <c r="E154" s="20" t="s">
        <v>71</v>
      </c>
      <c r="F154" s="20"/>
      <c r="G154" s="20"/>
      <c r="H154" s="20"/>
      <c r="I154" s="21" t="s">
        <v>96</v>
      </c>
      <c r="J154" s="12">
        <f>'ENTER DATA HERE'!J33</f>
        <v>0</v>
      </c>
      <c r="K154" s="12">
        <f>J154*'ENTER DATA HERE'!U33</f>
        <v>0</v>
      </c>
      <c r="L154" t="s">
        <v>5</v>
      </c>
    </row>
    <row r="155" spans="5:12" x14ac:dyDescent="0.25">
      <c r="E155" s="20" t="s">
        <v>72</v>
      </c>
      <c r="F155" s="20"/>
      <c r="G155" s="20"/>
      <c r="H155" s="20"/>
      <c r="I155" s="21" t="s">
        <v>96</v>
      </c>
      <c r="J155" s="12">
        <f>'ENTER DATA HERE'!J34</f>
        <v>0</v>
      </c>
      <c r="K155" s="12">
        <f>J155*'ENTER DATA HERE'!U34</f>
        <v>0</v>
      </c>
      <c r="L155" t="s">
        <v>5</v>
      </c>
    </row>
    <row r="156" spans="5:12" x14ac:dyDescent="0.25">
      <c r="E156" s="20" t="s">
        <v>73</v>
      </c>
      <c r="F156" s="20"/>
      <c r="G156" s="20"/>
      <c r="H156" s="20"/>
      <c r="I156" s="21" t="s">
        <v>96</v>
      </c>
      <c r="J156" s="12">
        <f>'ENTER DATA HERE'!J35</f>
        <v>0</v>
      </c>
      <c r="K156" s="12">
        <f>J156*'ENTER DATA HERE'!U35</f>
        <v>0</v>
      </c>
      <c r="L156" t="s">
        <v>5</v>
      </c>
    </row>
    <row r="157" spans="5:12" x14ac:dyDescent="0.25">
      <c r="E157" s="20" t="s">
        <v>82</v>
      </c>
      <c r="F157" s="20"/>
      <c r="G157" s="20"/>
      <c r="H157" s="20"/>
      <c r="I157" s="21" t="s">
        <v>96</v>
      </c>
      <c r="J157" s="12">
        <f>'ENTER DATA HERE'!J36</f>
        <v>0</v>
      </c>
      <c r="K157" s="12">
        <f>J157*'ENTER DATA HERE'!U36</f>
        <v>0</v>
      </c>
      <c r="L157" t="s">
        <v>5</v>
      </c>
    </row>
    <row r="158" spans="5:12" x14ac:dyDescent="0.25">
      <c r="E158" s="20" t="s">
        <v>83</v>
      </c>
      <c r="F158" s="20"/>
      <c r="G158" s="20"/>
      <c r="H158" s="20"/>
      <c r="I158" s="21" t="s">
        <v>96</v>
      </c>
      <c r="J158" s="12">
        <f>'ENTER DATA HERE'!J37</f>
        <v>0</v>
      </c>
      <c r="K158" s="12">
        <f>J158*'ENTER DATA HERE'!U37</f>
        <v>0</v>
      </c>
      <c r="L158" t="s">
        <v>5</v>
      </c>
    </row>
    <row r="159" spans="5:12" x14ac:dyDescent="0.25">
      <c r="E159" s="20" t="s">
        <v>74</v>
      </c>
      <c r="F159" s="20"/>
      <c r="G159" s="20"/>
      <c r="H159" s="20"/>
      <c r="I159" s="21" t="s">
        <v>96</v>
      </c>
      <c r="J159" s="12">
        <f>'ENTER DATA HERE'!J38</f>
        <v>0</v>
      </c>
      <c r="K159" s="12">
        <v>0</v>
      </c>
      <c r="L159" t="s">
        <v>5</v>
      </c>
    </row>
    <row r="160" spans="5:12" x14ac:dyDescent="0.25">
      <c r="E160" s="20" t="s">
        <v>75</v>
      </c>
      <c r="F160" s="20"/>
      <c r="G160" s="20"/>
      <c r="H160" s="20"/>
      <c r="I160" s="21" t="s">
        <v>96</v>
      </c>
      <c r="J160" s="12">
        <f>'ENTER DATA HERE'!J39</f>
        <v>0</v>
      </c>
      <c r="K160" s="12">
        <f>J160*'ENTER DATA HERE'!U39</f>
        <v>0</v>
      </c>
      <c r="L160" t="s">
        <v>5</v>
      </c>
    </row>
    <row r="161" spans="5:12" x14ac:dyDescent="0.25">
      <c r="E161" s="20" t="s">
        <v>76</v>
      </c>
      <c r="F161" s="20"/>
      <c r="G161" s="20"/>
      <c r="H161" s="20"/>
      <c r="I161" s="21" t="s">
        <v>96</v>
      </c>
      <c r="J161" s="12">
        <f>'ENTER DATA HERE'!J40</f>
        <v>0</v>
      </c>
      <c r="K161" s="12">
        <f>J161*'ENTER DATA HERE'!U40</f>
        <v>0</v>
      </c>
      <c r="L161" t="s">
        <v>5</v>
      </c>
    </row>
    <row r="162" spans="5:12" x14ac:dyDescent="0.25">
      <c r="E162" s="20" t="s">
        <v>77</v>
      </c>
      <c r="F162" s="20"/>
      <c r="G162" s="20"/>
      <c r="H162" s="20"/>
      <c r="I162" s="21" t="s">
        <v>96</v>
      </c>
      <c r="J162" s="12">
        <f>'ENTER DATA HERE'!J41</f>
        <v>0</v>
      </c>
      <c r="K162" s="12">
        <v>0</v>
      </c>
      <c r="L162" t="s">
        <v>5</v>
      </c>
    </row>
    <row r="163" spans="5:12" x14ac:dyDescent="0.25">
      <c r="E163" s="20" t="s">
        <v>78</v>
      </c>
      <c r="F163" s="20"/>
      <c r="G163" s="20"/>
      <c r="H163" s="20"/>
      <c r="I163" s="21" t="s">
        <v>96</v>
      </c>
      <c r="J163" s="12">
        <f>'ENTER DATA HERE'!J42</f>
        <v>0</v>
      </c>
      <c r="K163" s="12">
        <v>0</v>
      </c>
      <c r="L163" t="s">
        <v>5</v>
      </c>
    </row>
    <row r="164" spans="5:12" x14ac:dyDescent="0.25">
      <c r="E164" s="20" t="s">
        <v>79</v>
      </c>
      <c r="F164" s="20"/>
      <c r="G164" s="20"/>
      <c r="H164" s="20"/>
      <c r="I164" s="21" t="s">
        <v>96</v>
      </c>
      <c r="J164" s="12">
        <f>'ENTER DATA HERE'!J43</f>
        <v>0</v>
      </c>
      <c r="K164" s="12">
        <f>J164*'ENTER DATA HERE'!U43</f>
        <v>0</v>
      </c>
      <c r="L164" t="s">
        <v>5</v>
      </c>
    </row>
    <row r="165" spans="5:12" x14ac:dyDescent="0.25">
      <c r="E165" s="20" t="s">
        <v>80</v>
      </c>
      <c r="F165" s="20"/>
      <c r="G165" s="20"/>
      <c r="H165" s="20"/>
      <c r="I165" s="21" t="s">
        <v>96</v>
      </c>
      <c r="J165" s="12">
        <f>'ENTER DATA HERE'!J44</f>
        <v>0</v>
      </c>
      <c r="K165" s="12">
        <f>J165*'ENTER DATA HERE'!U44</f>
        <v>0</v>
      </c>
      <c r="L165" t="s">
        <v>5</v>
      </c>
    </row>
    <row r="166" spans="5:12" x14ac:dyDescent="0.25">
      <c r="E166" s="20" t="s">
        <v>84</v>
      </c>
      <c r="F166" s="20"/>
      <c r="G166" s="20"/>
      <c r="H166" s="20"/>
      <c r="I166" s="21" t="s">
        <v>96</v>
      </c>
      <c r="J166" s="12">
        <f>'ENTER DATA HERE'!J45</f>
        <v>0</v>
      </c>
      <c r="K166" s="12">
        <f>J166*'ENTER DATA HERE'!U45</f>
        <v>0</v>
      </c>
      <c r="L166" t="s">
        <v>5</v>
      </c>
    </row>
    <row r="167" spans="5:12" x14ac:dyDescent="0.25">
      <c r="E167" s="20" t="s">
        <v>69</v>
      </c>
      <c r="F167" s="20"/>
      <c r="G167" s="20"/>
      <c r="H167" s="20"/>
      <c r="I167" s="21" t="s">
        <v>97</v>
      </c>
      <c r="J167" s="12">
        <f>'ENTER DATA HERE'!K31</f>
        <v>0</v>
      </c>
      <c r="K167" s="12">
        <f>J167*'ENTER DATA HERE'!V31</f>
        <v>0</v>
      </c>
      <c r="L167" t="s">
        <v>5</v>
      </c>
    </row>
    <row r="168" spans="5:12" x14ac:dyDescent="0.25">
      <c r="E168" s="20" t="s">
        <v>70</v>
      </c>
      <c r="F168" s="20"/>
      <c r="G168" s="20"/>
      <c r="H168" s="20"/>
      <c r="I168" s="21" t="s">
        <v>97</v>
      </c>
      <c r="J168" s="12">
        <f>'ENTER DATA HERE'!K32</f>
        <v>2</v>
      </c>
      <c r="K168" s="12">
        <f>J168*'ENTER DATA HERE'!V32</f>
        <v>19.2</v>
      </c>
      <c r="L168" t="s">
        <v>5</v>
      </c>
    </row>
    <row r="169" spans="5:12" x14ac:dyDescent="0.25">
      <c r="E169" s="20" t="s">
        <v>71</v>
      </c>
      <c r="F169" s="20"/>
      <c r="G169" s="20"/>
      <c r="H169" s="20"/>
      <c r="I169" s="21" t="s">
        <v>97</v>
      </c>
      <c r="J169" s="12">
        <f>'ENTER DATA HERE'!K33</f>
        <v>0</v>
      </c>
      <c r="K169" s="12">
        <f>J169*'ENTER DATA HERE'!V33</f>
        <v>0</v>
      </c>
      <c r="L169" t="s">
        <v>5</v>
      </c>
    </row>
    <row r="170" spans="5:12" x14ac:dyDescent="0.25">
      <c r="E170" s="20" t="s">
        <v>72</v>
      </c>
      <c r="F170" s="20"/>
      <c r="G170" s="20"/>
      <c r="H170" s="20"/>
      <c r="I170" s="21" t="s">
        <v>97</v>
      </c>
      <c r="J170" s="12">
        <f>'ENTER DATA HERE'!K34</f>
        <v>0</v>
      </c>
      <c r="K170" s="12">
        <f>J170*'ENTER DATA HERE'!V34</f>
        <v>0</v>
      </c>
      <c r="L170" t="s">
        <v>5</v>
      </c>
    </row>
    <row r="171" spans="5:12" x14ac:dyDescent="0.25">
      <c r="E171" s="20" t="s">
        <v>73</v>
      </c>
      <c r="F171" s="20"/>
      <c r="G171" s="20"/>
      <c r="H171" s="20"/>
      <c r="I171" s="21" t="s">
        <v>97</v>
      </c>
      <c r="J171" s="12">
        <f>'ENTER DATA HERE'!K35</f>
        <v>0</v>
      </c>
      <c r="K171" s="12">
        <f>J171*'ENTER DATA HERE'!V35</f>
        <v>0</v>
      </c>
      <c r="L171" t="s">
        <v>5</v>
      </c>
    </row>
    <row r="172" spans="5:12" x14ac:dyDescent="0.25">
      <c r="E172" s="20" t="s">
        <v>82</v>
      </c>
      <c r="F172" s="20"/>
      <c r="G172" s="20"/>
      <c r="H172" s="20"/>
      <c r="I172" s="21" t="s">
        <v>97</v>
      </c>
      <c r="J172" s="12">
        <f>'ENTER DATA HERE'!K36</f>
        <v>0</v>
      </c>
      <c r="K172" s="12">
        <f>J172*'ENTER DATA HERE'!V36</f>
        <v>0</v>
      </c>
      <c r="L172" t="s">
        <v>5</v>
      </c>
    </row>
    <row r="173" spans="5:12" x14ac:dyDescent="0.25">
      <c r="E173" s="20" t="s">
        <v>83</v>
      </c>
      <c r="F173" s="20"/>
      <c r="G173" s="20"/>
      <c r="H173" s="20"/>
      <c r="I173" s="21" t="s">
        <v>97</v>
      </c>
      <c r="J173" s="12">
        <f>'ENTER DATA HERE'!K37</f>
        <v>0</v>
      </c>
      <c r="K173" s="12">
        <f>J173*'ENTER DATA HERE'!V37</f>
        <v>0</v>
      </c>
      <c r="L173" t="s">
        <v>5</v>
      </c>
    </row>
    <row r="174" spans="5:12" x14ac:dyDescent="0.25">
      <c r="E174" s="20" t="s">
        <v>74</v>
      </c>
      <c r="F174" s="20"/>
      <c r="G174" s="20"/>
      <c r="H174" s="20"/>
      <c r="I174" s="21" t="s">
        <v>97</v>
      </c>
      <c r="J174" s="12">
        <f>'ENTER DATA HERE'!K38</f>
        <v>0</v>
      </c>
      <c r="K174" s="12">
        <v>0</v>
      </c>
      <c r="L174" t="s">
        <v>5</v>
      </c>
    </row>
    <row r="175" spans="5:12" x14ac:dyDescent="0.25">
      <c r="E175" s="20" t="s">
        <v>75</v>
      </c>
      <c r="F175" s="20"/>
      <c r="G175" s="20"/>
      <c r="H175" s="20"/>
      <c r="I175" s="21" t="s">
        <v>97</v>
      </c>
      <c r="J175" s="12">
        <f>'ENTER DATA HERE'!K39</f>
        <v>2</v>
      </c>
      <c r="K175" s="12">
        <f>J175*'ENTER DATA HERE'!V39</f>
        <v>6</v>
      </c>
      <c r="L175" t="s">
        <v>5</v>
      </c>
    </row>
    <row r="176" spans="5:12" x14ac:dyDescent="0.25">
      <c r="E176" s="20" t="s">
        <v>76</v>
      </c>
      <c r="F176" s="20"/>
      <c r="G176" s="20"/>
      <c r="H176" s="20"/>
      <c r="I176" s="21" t="s">
        <v>97</v>
      </c>
      <c r="J176" s="12">
        <f>'ENTER DATA HERE'!K40</f>
        <v>0</v>
      </c>
      <c r="K176" s="12">
        <f>J176*'ENTER DATA HERE'!V40</f>
        <v>0</v>
      </c>
      <c r="L176" t="s">
        <v>5</v>
      </c>
    </row>
    <row r="177" spans="2:14" x14ac:dyDescent="0.25">
      <c r="E177" s="20" t="s">
        <v>77</v>
      </c>
      <c r="F177" s="20"/>
      <c r="G177" s="20"/>
      <c r="H177" s="20"/>
      <c r="I177" s="21" t="s">
        <v>97</v>
      </c>
      <c r="J177" s="12">
        <f>'ENTER DATA HERE'!K41</f>
        <v>0</v>
      </c>
      <c r="K177" s="12">
        <v>0</v>
      </c>
      <c r="L177" t="s">
        <v>5</v>
      </c>
    </row>
    <row r="178" spans="2:14" x14ac:dyDescent="0.25">
      <c r="E178" s="20" t="s">
        <v>78</v>
      </c>
      <c r="F178" s="20"/>
      <c r="G178" s="20"/>
      <c r="H178" s="20"/>
      <c r="I178" s="21" t="s">
        <v>97</v>
      </c>
      <c r="J178" s="12">
        <f>'ENTER DATA HERE'!K42</f>
        <v>0</v>
      </c>
      <c r="K178" s="12">
        <v>0</v>
      </c>
      <c r="L178" t="s">
        <v>5</v>
      </c>
    </row>
    <row r="179" spans="2:14" x14ac:dyDescent="0.25">
      <c r="E179" s="20" t="s">
        <v>79</v>
      </c>
      <c r="F179" s="20"/>
      <c r="G179" s="20"/>
      <c r="H179" s="20"/>
      <c r="I179" s="21" t="s">
        <v>97</v>
      </c>
      <c r="J179" s="12">
        <f>'ENTER DATA HERE'!K43</f>
        <v>0</v>
      </c>
      <c r="K179" s="12">
        <f>J179*'ENTER DATA HERE'!V43</f>
        <v>0</v>
      </c>
      <c r="L179" t="s">
        <v>5</v>
      </c>
    </row>
    <row r="180" spans="2:14" x14ac:dyDescent="0.25">
      <c r="E180" s="20" t="s">
        <v>80</v>
      </c>
      <c r="F180" s="20"/>
      <c r="G180" s="20"/>
      <c r="H180" s="20"/>
      <c r="I180" s="21" t="s">
        <v>97</v>
      </c>
      <c r="J180" s="12">
        <f>'ENTER DATA HERE'!K44</f>
        <v>0</v>
      </c>
      <c r="K180" s="12">
        <f>J180*'ENTER DATA HERE'!V44</f>
        <v>0</v>
      </c>
      <c r="L180" t="s">
        <v>5</v>
      </c>
    </row>
    <row r="181" spans="2:14" x14ac:dyDescent="0.25">
      <c r="E181" s="20" t="s">
        <v>84</v>
      </c>
      <c r="F181" s="20"/>
      <c r="G181" s="20"/>
      <c r="H181" s="20"/>
      <c r="I181" s="21" t="s">
        <v>97</v>
      </c>
      <c r="J181" s="12">
        <f>'ENTER DATA HERE'!K45</f>
        <v>0</v>
      </c>
      <c r="K181" s="12">
        <f>J181*'ENTER DATA HERE'!V45</f>
        <v>0</v>
      </c>
      <c r="L181" t="s">
        <v>5</v>
      </c>
    </row>
    <row r="182" spans="2:14" x14ac:dyDescent="0.25">
      <c r="E182" s="20"/>
      <c r="F182" s="20"/>
      <c r="G182" s="20"/>
      <c r="H182" s="20"/>
      <c r="I182" s="21"/>
      <c r="J182" s="12"/>
      <c r="K182" s="12"/>
    </row>
    <row r="183" spans="2:14" x14ac:dyDescent="0.25">
      <c r="E183" s="20"/>
      <c r="F183" s="20"/>
      <c r="G183" s="20"/>
      <c r="H183" s="20"/>
      <c r="I183" s="21"/>
      <c r="J183" s="12"/>
      <c r="K183" s="12"/>
    </row>
    <row r="185" spans="2:14" ht="15.75" x14ac:dyDescent="0.25">
      <c r="B185" t="s">
        <v>115</v>
      </c>
      <c r="D185" s="11" t="s">
        <v>64</v>
      </c>
      <c r="E185" s="47" t="str">
        <f>"10.54 x L x ("&amp;'ENTER DATA HERE'!$E$6&amp;") 1.85"</f>
        <v>10.54 x L x (500) 1.85</v>
      </c>
      <c r="F185" s="47"/>
      <c r="G185" s="47"/>
      <c r="H185" s="47"/>
      <c r="I185" t="s">
        <v>32</v>
      </c>
      <c r="K185" s="2"/>
      <c r="M185" s="2">
        <f>IF('ENTER DATA HERE'!$F$19=0,0,-1*((10.54*$G$9*(POWER('ENTER DATA HERE'!Z46,1.85)))/((POWER('ENTER DATA HERE'!$I$19,1.85)*(POWER(2,4.8655))))))</f>
        <v>0</v>
      </c>
      <c r="N185" t="s">
        <v>5</v>
      </c>
    </row>
    <row r="186" spans="2:14" ht="20.25" x14ac:dyDescent="0.35">
      <c r="E186" s="48" t="s">
        <v>103</v>
      </c>
      <c r="F186" s="48"/>
      <c r="G186" s="48"/>
      <c r="H186" s="48"/>
    </row>
    <row r="188" spans="2:14" ht="15.75" x14ac:dyDescent="0.25">
      <c r="B188" t="s">
        <v>116</v>
      </c>
      <c r="D188" s="11" t="s">
        <v>64</v>
      </c>
      <c r="E188" s="47" t="str">
        <f>"10.54 x L x ("&amp;'ENTER DATA HERE'!$E$6&amp;") 1.85"</f>
        <v>10.54 x L x (500) 1.85</v>
      </c>
      <c r="F188" s="47"/>
      <c r="G188" s="47"/>
      <c r="H188" s="47"/>
      <c r="I188" t="s">
        <v>32</v>
      </c>
      <c r="K188" s="2"/>
      <c r="M188" s="2">
        <f>IF('ENTER DATA HERE'!$F$20=0,0,-1*((10.54*$G$10*(POWER('ENTER DATA HERE'!AA46,1.85)))/((POWER('ENTER DATA HERE'!$I$20,1.85)*(POWER(4,4.8655))))))</f>
        <v>0</v>
      </c>
      <c r="N188" t="s">
        <v>5</v>
      </c>
    </row>
    <row r="189" spans="2:14" ht="20.25" x14ac:dyDescent="0.35">
      <c r="E189" s="48" t="s">
        <v>104</v>
      </c>
      <c r="F189" s="48"/>
      <c r="G189" s="48"/>
      <c r="H189" s="48"/>
    </row>
    <row r="191" spans="2:14" ht="15.75" x14ac:dyDescent="0.25">
      <c r="B191" t="s">
        <v>100</v>
      </c>
      <c r="D191" s="11" t="s">
        <v>64</v>
      </c>
      <c r="E191" s="47" t="str">
        <f>"10.54 x L x ("&amp;'ENTER DATA HERE'!$E$6&amp;") 1.85"</f>
        <v>10.54 x L x (500) 1.85</v>
      </c>
      <c r="F191" s="47"/>
      <c r="G191" s="47"/>
      <c r="H191" s="47"/>
      <c r="I191" t="s">
        <v>32</v>
      </c>
      <c r="K191" s="2"/>
      <c r="M191" s="2">
        <f>IF('ENTER DATA HERE'!$F$21=0,0,-1*((10.54*$G$11*(POWER('ENTER DATA HERE'!AB46,1.85)))/((POWER('ENTER DATA HERE'!$I$21,1.85)*(POWER(6,4.8655))))))</f>
        <v>-0.24038838582042854</v>
      </c>
      <c r="N191" t="s">
        <v>5</v>
      </c>
    </row>
    <row r="192" spans="2:14" ht="20.25" x14ac:dyDescent="0.35">
      <c r="E192" s="48" t="s">
        <v>103</v>
      </c>
      <c r="F192" s="48"/>
      <c r="G192" s="48"/>
      <c r="H192" s="48"/>
    </row>
    <row r="194" spans="2:14" ht="15.75" x14ac:dyDescent="0.25">
      <c r="B194" t="s">
        <v>117</v>
      </c>
      <c r="D194" s="11" t="s">
        <v>64</v>
      </c>
      <c r="E194" s="47" t="str">
        <f>"10.54 x L x ("&amp;'ENTER DATA HERE'!$E$6&amp;") 1.85"</f>
        <v>10.54 x L x (500) 1.85</v>
      </c>
      <c r="F194" s="47"/>
      <c r="G194" s="47"/>
      <c r="H194" s="47"/>
      <c r="I194" t="s">
        <v>32</v>
      </c>
      <c r="K194" s="2"/>
      <c r="M194" s="2">
        <f>IF('ENTER DATA HERE'!$F$22=0,0,-1*((10.54*$G$12*(POWER('ENTER DATA HERE'!AC46,1.85)))/((POWER('ENTER DATA HERE'!$I$22,1.85)*(POWER(8,4.8655))))))</f>
        <v>0</v>
      </c>
      <c r="N194" t="s">
        <v>5</v>
      </c>
    </row>
    <row r="195" spans="2:14" ht="20.25" x14ac:dyDescent="0.35">
      <c r="E195" s="48" t="s">
        <v>104</v>
      </c>
      <c r="F195" s="48"/>
      <c r="G195" s="48"/>
      <c r="H195" s="48"/>
    </row>
    <row r="197" spans="2:14" ht="15.75" x14ac:dyDescent="0.25">
      <c r="B197" t="s">
        <v>101</v>
      </c>
      <c r="D197" s="11" t="s">
        <v>64</v>
      </c>
      <c r="E197" s="47" t="str">
        <f>"10.54 x L x ("&amp;'ENTER DATA HERE'!$E$6&amp;") 1.85"</f>
        <v>10.54 x L x (500) 1.85</v>
      </c>
      <c r="F197" s="47"/>
      <c r="G197" s="47"/>
      <c r="H197" s="47"/>
      <c r="I197" t="s">
        <v>32</v>
      </c>
      <c r="K197" s="2"/>
      <c r="M197" s="2">
        <f>IF('ENTER DATA HERE'!$F$23=0,0,-1*((10.54*$G$13*(POWER('ENTER DATA HERE'!AD46,1.85)))/((POWER('ENTER DATA HERE'!$I$23,1.85)*(POWER(10,4.8655))))))</f>
        <v>-4.6791330391256492E-3</v>
      </c>
      <c r="N197" t="s">
        <v>5</v>
      </c>
    </row>
    <row r="198" spans="2:14" ht="20.25" x14ac:dyDescent="0.35">
      <c r="E198" s="48" t="s">
        <v>104</v>
      </c>
      <c r="F198" s="48"/>
      <c r="G198" s="48"/>
      <c r="H198" s="48"/>
    </row>
    <row r="200" spans="2:14" ht="15.75" x14ac:dyDescent="0.25">
      <c r="B200" t="s">
        <v>102</v>
      </c>
      <c r="D200" s="11" t="s">
        <v>64</v>
      </c>
      <c r="E200" s="47" t="str">
        <f>"10.54 x L x ("&amp;'ENTER DATA HERE'!$E$6&amp;") 1.85"</f>
        <v>10.54 x L x (500) 1.85</v>
      </c>
      <c r="F200" s="47"/>
      <c r="G200" s="47"/>
      <c r="H200" s="47"/>
      <c r="I200" t="s">
        <v>32</v>
      </c>
      <c r="K200" s="2"/>
      <c r="M200" s="2">
        <f>IF('ENTER DATA HERE'!$F$24=0,0,-1*((10.54*$G$14*(POWER('ENTER DATA HERE'!AE46,1.85)))/((POWER('ENTER DATA HERE'!$I$24,1.85)*(POWER(12,4.8655))))))</f>
        <v>0</v>
      </c>
      <c r="N200" t="s">
        <v>5</v>
      </c>
    </row>
    <row r="201" spans="2:14" ht="20.25" x14ac:dyDescent="0.35">
      <c r="E201" s="48" t="s">
        <v>105</v>
      </c>
      <c r="F201" s="48"/>
      <c r="G201" s="48"/>
      <c r="H201" s="48"/>
    </row>
    <row r="202" spans="2:14" ht="15.75" x14ac:dyDescent="0.25">
      <c r="E202" s="3"/>
      <c r="F202" s="3"/>
      <c r="G202" s="3"/>
      <c r="H202" s="3"/>
    </row>
    <row r="203" spans="2:14" ht="15.75" x14ac:dyDescent="0.25">
      <c r="B203" t="s">
        <v>118</v>
      </c>
      <c r="D203" s="11" t="s">
        <v>64</v>
      </c>
      <c r="E203" s="47" t="str">
        <f>"10.54 x L x ("&amp;'ENTER DATA HERE'!$E$6&amp;") 1.85"</f>
        <v>10.54 x L x (500) 1.85</v>
      </c>
      <c r="F203" s="47"/>
      <c r="G203" s="47"/>
      <c r="H203" s="47"/>
      <c r="I203" t="s">
        <v>32</v>
      </c>
      <c r="K203" s="2"/>
      <c r="M203" s="2">
        <f>IF('ENTER DATA HERE'!$F$25=0,0,-1*((10.54*$G$15*(POWER('ENTER DATA HERE'!AF46,1.85)))/((POWER('ENTER DATA HERE'!$I$25,1.85)*(POWER(14,4.8655))))))</f>
        <v>0</v>
      </c>
      <c r="N203" t="s">
        <v>5</v>
      </c>
    </row>
    <row r="204" spans="2:14" ht="20.25" x14ac:dyDescent="0.35">
      <c r="E204" s="48" t="s">
        <v>104</v>
      </c>
      <c r="F204" s="48"/>
      <c r="G204" s="48"/>
      <c r="H204" s="48"/>
    </row>
    <row r="206" spans="2:14" ht="15.75" x14ac:dyDescent="0.25">
      <c r="B206" t="s">
        <v>119</v>
      </c>
      <c r="D206" s="11" t="s">
        <v>64</v>
      </c>
      <c r="E206" s="47" t="str">
        <f>"10.54 x L x ("&amp;'ENTER DATA HERE'!$E$6&amp;") 1.85"</f>
        <v>10.54 x L x (500) 1.85</v>
      </c>
      <c r="F206" s="47"/>
      <c r="G206" s="47"/>
      <c r="H206" s="47"/>
      <c r="I206" t="s">
        <v>32</v>
      </c>
      <c r="K206" s="2"/>
      <c r="M206" s="2">
        <f>IF('ENTER DATA HERE'!$F$26=0,0,-1*((10.54*$G$16*(POWER('ENTER DATA HERE'!AG46,1.85)))/((POWER('ENTER DATA HERE'!$I$26,1.85)*(POWER(16,4.8655))))))</f>
        <v>-2.6914543046772536E-4</v>
      </c>
      <c r="N206" t="s">
        <v>5</v>
      </c>
    </row>
    <row r="207" spans="2:14" ht="20.25" x14ac:dyDescent="0.35">
      <c r="E207" s="48" t="s">
        <v>105</v>
      </c>
      <c r="F207" s="48"/>
      <c r="G207" s="48"/>
      <c r="H207" s="48"/>
    </row>
    <row r="208" spans="2:14" ht="15.75" x14ac:dyDescent="0.25">
      <c r="E208" s="3"/>
      <c r="F208" s="3"/>
      <c r="G208" s="3"/>
      <c r="H208" s="3"/>
    </row>
    <row r="209" spans="1:14" ht="15.75" x14ac:dyDescent="0.25">
      <c r="E209" s="3"/>
      <c r="F209" s="3"/>
      <c r="G209" s="3"/>
      <c r="H209" s="14"/>
      <c r="K209" s="33"/>
      <c r="L209" s="33" t="s">
        <v>126</v>
      </c>
      <c r="M209" s="33">
        <f>M185+M188+M191+M194+M197+M200+M203+M206</f>
        <v>-0.24533666429002191</v>
      </c>
      <c r="N209" s="33" t="s">
        <v>5</v>
      </c>
    </row>
    <row r="210" spans="1:14" ht="15.75" x14ac:dyDescent="0.25">
      <c r="E210" s="3"/>
      <c r="F210" s="3"/>
      <c r="G210" s="3"/>
      <c r="H210" s="3"/>
    </row>
    <row r="211" spans="1:14" ht="15.75" x14ac:dyDescent="0.25">
      <c r="E211" s="3"/>
      <c r="F211" s="3"/>
      <c r="G211" s="3"/>
      <c r="H211" s="3"/>
    </row>
    <row r="213" spans="1:14" ht="15.75" x14ac:dyDescent="0.25">
      <c r="A213" s="35" t="s">
        <v>107</v>
      </c>
    </row>
    <row r="215" spans="1:14" ht="15.75" x14ac:dyDescent="0.25">
      <c r="C215" s="57" t="str">
        <f>"Flowing Hyd"</f>
        <v>Flowing Hyd</v>
      </c>
      <c r="D215" s="57"/>
      <c r="E215" s="57"/>
      <c r="F215" s="23">
        <f>G6</f>
        <v>705.25</v>
      </c>
      <c r="G215" s="11"/>
    </row>
    <row r="216" spans="1:14" ht="15.75" x14ac:dyDescent="0.25">
      <c r="C216" s="58" t="str">
        <f>"- Critical Hyd"</f>
        <v>- Critical Hyd</v>
      </c>
      <c r="D216" s="58"/>
      <c r="E216" s="58"/>
      <c r="F216" s="24">
        <f>G7</f>
        <v>701.72</v>
      </c>
      <c r="G216" s="11"/>
    </row>
    <row r="217" spans="1:14" ht="15.75" x14ac:dyDescent="0.25">
      <c r="B217" s="25"/>
      <c r="E217" t="s">
        <v>32</v>
      </c>
      <c r="F217" s="11">
        <f>F215-F216</f>
        <v>3.5299999999999727</v>
      </c>
      <c r="G217" s="11" t="s">
        <v>108</v>
      </c>
    </row>
    <row r="219" spans="1:14" ht="15.75" x14ac:dyDescent="0.25">
      <c r="A219" s="35" t="s">
        <v>109</v>
      </c>
    </row>
    <row r="221" spans="1:14" ht="15.75" x14ac:dyDescent="0.25">
      <c r="F221" s="23" t="s">
        <v>110</v>
      </c>
      <c r="G221" s="26">
        <f>M54</f>
        <v>-5.902388763953887</v>
      </c>
      <c r="H221" s="22" t="s">
        <v>108</v>
      </c>
      <c r="I221" s="23"/>
      <c r="J221" s="11"/>
      <c r="K221" s="11"/>
    </row>
    <row r="222" spans="1:14" ht="15.75" x14ac:dyDescent="0.25">
      <c r="F222" s="23" t="s">
        <v>111</v>
      </c>
      <c r="G222" s="26">
        <f>M209</f>
        <v>-0.24533666429002191</v>
      </c>
      <c r="H222" s="22" t="s">
        <v>108</v>
      </c>
      <c r="I222" s="23"/>
      <c r="J222" s="11"/>
      <c r="K222" s="11"/>
    </row>
    <row r="223" spans="1:14" ht="15.75" x14ac:dyDescent="0.25">
      <c r="F223" s="23" t="s">
        <v>112</v>
      </c>
      <c r="G223" s="23">
        <f>F217</f>
        <v>3.5299999999999727</v>
      </c>
      <c r="H223" s="22" t="s">
        <v>108</v>
      </c>
      <c r="I223" s="23"/>
      <c r="J223" s="11"/>
      <c r="K223" s="11"/>
    </row>
    <row r="224" spans="1:14" ht="15.75" x14ac:dyDescent="0.25">
      <c r="F224" s="23" t="s">
        <v>113</v>
      </c>
      <c r="G224" s="27">
        <f>G221+G222+G223</f>
        <v>-2.6177254282439364</v>
      </c>
      <c r="H224" s="28" t="s">
        <v>108</v>
      </c>
      <c r="I224" s="29"/>
      <c r="J224" s="11"/>
      <c r="K224" s="11"/>
    </row>
    <row r="227" spans="1:14" ht="15.75" x14ac:dyDescent="0.25">
      <c r="A227" s="35" t="s">
        <v>114</v>
      </c>
    </row>
    <row r="229" spans="1:14" x14ac:dyDescent="0.25">
      <c r="C229" s="30">
        <f>G224</f>
        <v>-2.6177254282439364</v>
      </c>
      <c r="D229" t="s">
        <v>5</v>
      </c>
      <c r="E229" t="s">
        <v>32</v>
      </c>
      <c r="F229">
        <f>C229*0.43328</f>
        <v>-1.1342080735495328</v>
      </c>
      <c r="G229" t="s">
        <v>3</v>
      </c>
    </row>
    <row r="231" spans="1:14" ht="15.75" x14ac:dyDescent="0.25">
      <c r="A231" s="35" t="str">
        <f>"STEP 7: CALCULATE CRITICAL HYDRANT PRESSURE AT "&amp;'ENTER DATA HERE'!E6&amp;" GMP"</f>
        <v>STEP 7: CALCULATE CRITICAL HYDRANT PRESSURE AT 500 GMP</v>
      </c>
    </row>
    <row r="233" spans="1:14" ht="15.75" x14ac:dyDescent="0.25">
      <c r="D233" s="33"/>
      <c r="E233" s="33"/>
      <c r="F233" s="33"/>
      <c r="G233" s="33"/>
      <c r="H233" s="33"/>
      <c r="I233" s="33"/>
      <c r="L233" s="33" t="s">
        <v>127</v>
      </c>
      <c r="M233" s="33">
        <f>M26-F229</f>
        <v>59.287035044277502</v>
      </c>
      <c r="N233" s="33" t="s">
        <v>3</v>
      </c>
    </row>
  </sheetData>
  <mergeCells count="101">
    <mergeCell ref="C216:E216"/>
    <mergeCell ref="E203:H203"/>
    <mergeCell ref="E204:H204"/>
    <mergeCell ref="E206:H206"/>
    <mergeCell ref="E189:H189"/>
    <mergeCell ref="E194:H194"/>
    <mergeCell ref="E195:H195"/>
    <mergeCell ref="E185:H185"/>
    <mergeCell ref="E186:H186"/>
    <mergeCell ref="E207:H207"/>
    <mergeCell ref="E192:H192"/>
    <mergeCell ref="E197:H197"/>
    <mergeCell ref="E198:H198"/>
    <mergeCell ref="E191:H191"/>
    <mergeCell ref="E188:H188"/>
    <mergeCell ref="E200:H200"/>
    <mergeCell ref="E201:H201"/>
    <mergeCell ref="C215:E215"/>
    <mergeCell ref="M22:P22"/>
    <mergeCell ref="M23:P23"/>
    <mergeCell ref="M24:P24"/>
    <mergeCell ref="Q22:Q23"/>
    <mergeCell ref="D22:D23"/>
    <mergeCell ref="E22:E23"/>
    <mergeCell ref="I22:I23"/>
    <mergeCell ref="G36:G37"/>
    <mergeCell ref="G39:G40"/>
    <mergeCell ref="E36:F37"/>
    <mergeCell ref="E39:F40"/>
    <mergeCell ref="B22:C22"/>
    <mergeCell ref="B23:C23"/>
    <mergeCell ref="J22:K22"/>
    <mergeCell ref="J23:K23"/>
    <mergeCell ref="L22:L23"/>
    <mergeCell ref="H22:H23"/>
    <mergeCell ref="F22:G22"/>
    <mergeCell ref="F23:G23"/>
    <mergeCell ref="F24:G24"/>
    <mergeCell ref="M30:M31"/>
    <mergeCell ref="N30:N31"/>
    <mergeCell ref="N33:N34"/>
    <mergeCell ref="M33:M34"/>
    <mergeCell ref="L33:L34"/>
    <mergeCell ref="H33:H34"/>
    <mergeCell ref="G33:G34"/>
    <mergeCell ref="E33:F34"/>
    <mergeCell ref="E61:H61"/>
    <mergeCell ref="K61:L61"/>
    <mergeCell ref="E60:L60"/>
    <mergeCell ref="H30:H31"/>
    <mergeCell ref="G30:G31"/>
    <mergeCell ref="E30:F31"/>
    <mergeCell ref="L30:L31"/>
    <mergeCell ref="L36:L37"/>
    <mergeCell ref="L39:L40"/>
    <mergeCell ref="L42:L43"/>
    <mergeCell ref="L45:L46"/>
    <mergeCell ref="L48:L49"/>
    <mergeCell ref="G42:G43"/>
    <mergeCell ref="G45:G46"/>
    <mergeCell ref="G48:G49"/>
    <mergeCell ref="G51:G52"/>
    <mergeCell ref="L51:L52"/>
    <mergeCell ref="H36:H37"/>
    <mergeCell ref="H39:H40"/>
    <mergeCell ref="H42:H43"/>
    <mergeCell ref="H45:H46"/>
    <mergeCell ref="H48:H49"/>
    <mergeCell ref="H51:H52"/>
    <mergeCell ref="N36:N37"/>
    <mergeCell ref="N39:N40"/>
    <mergeCell ref="N42:N43"/>
    <mergeCell ref="N45:N46"/>
    <mergeCell ref="N48:N49"/>
    <mergeCell ref="N51:N52"/>
    <mergeCell ref="M36:M37"/>
    <mergeCell ref="M39:M40"/>
    <mergeCell ref="M42:M43"/>
    <mergeCell ref="M45:M46"/>
    <mergeCell ref="M48:M49"/>
    <mergeCell ref="M51:M52"/>
    <mergeCell ref="E48:F49"/>
    <mergeCell ref="E51:F52"/>
    <mergeCell ref="I30:K30"/>
    <mergeCell ref="I31:K31"/>
    <mergeCell ref="I33:K33"/>
    <mergeCell ref="I34:K34"/>
    <mergeCell ref="I36:K36"/>
    <mergeCell ref="I37:K37"/>
    <mergeCell ref="I39:K39"/>
    <mergeCell ref="I40:K40"/>
    <mergeCell ref="I42:K42"/>
    <mergeCell ref="I43:K43"/>
    <mergeCell ref="I45:K45"/>
    <mergeCell ref="I46:K46"/>
    <mergeCell ref="I48:K48"/>
    <mergeCell ref="I49:K49"/>
    <mergeCell ref="I51:K51"/>
    <mergeCell ref="I52:K52"/>
    <mergeCell ref="E42:F43"/>
    <mergeCell ref="E45:F46"/>
  </mergeCells>
  <pageMargins left="0.7" right="0.7" top="0.75" bottom="0.75" header="0.3" footer="0.3"/>
  <pageSetup scale="61" fitToHeight="0" orientation="portrait" r:id="rId1"/>
  <colBreaks count="1" manualBreakCount="1">
    <brk id="1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AG46"/>
  <sheetViews>
    <sheetView topLeftCell="A37" zoomScale="85" zoomScaleNormal="85" workbookViewId="0">
      <selection activeCell="I62" sqref="I62"/>
    </sheetView>
  </sheetViews>
  <sheetFormatPr defaultRowHeight="15" x14ac:dyDescent="0.25"/>
  <cols>
    <col min="1" max="2" width="11.5703125" bestFit="1" customWidth="1"/>
    <col min="10" max="10" width="10.7109375" customWidth="1"/>
    <col min="14" max="14" width="17.7109375" customWidth="1"/>
    <col min="32" max="32" width="10" bestFit="1" customWidth="1"/>
  </cols>
  <sheetData>
    <row r="3" spans="2:10" x14ac:dyDescent="0.25">
      <c r="B3" s="62" t="s">
        <v>49</v>
      </c>
      <c r="C3" s="62"/>
      <c r="D3" s="62"/>
      <c r="E3" s="59" t="s">
        <v>61</v>
      </c>
      <c r="F3" s="60"/>
      <c r="G3" s="60"/>
      <c r="H3" s="60"/>
      <c r="I3" s="60"/>
      <c r="J3" s="61"/>
    </row>
    <row r="4" spans="2:10" x14ac:dyDescent="0.25">
      <c r="B4" s="62" t="s">
        <v>50</v>
      </c>
      <c r="C4" s="62"/>
      <c r="D4" s="62"/>
      <c r="E4" s="59">
        <v>8</v>
      </c>
      <c r="F4" s="60"/>
      <c r="G4" s="60"/>
      <c r="H4" s="60"/>
      <c r="I4" s="60"/>
      <c r="J4" s="61"/>
    </row>
    <row r="5" spans="2:10" x14ac:dyDescent="0.25">
      <c r="B5" s="62" t="s">
        <v>51</v>
      </c>
      <c r="C5" s="62"/>
      <c r="D5" s="62"/>
      <c r="E5" s="59" t="s">
        <v>52</v>
      </c>
      <c r="F5" s="60"/>
      <c r="G5" s="60"/>
      <c r="H5" s="60"/>
      <c r="I5" s="60"/>
      <c r="J5" s="61"/>
    </row>
    <row r="6" spans="2:10" x14ac:dyDescent="0.25">
      <c r="B6" s="62" t="s">
        <v>60</v>
      </c>
      <c r="C6" s="62"/>
      <c r="D6" s="62"/>
      <c r="E6" s="59">
        <v>500</v>
      </c>
      <c r="F6" s="60"/>
      <c r="G6" s="60"/>
      <c r="H6" s="60"/>
      <c r="I6" s="60"/>
      <c r="J6" s="61"/>
    </row>
    <row r="7" spans="2:10" x14ac:dyDescent="0.25">
      <c r="C7" s="1"/>
    </row>
    <row r="8" spans="2:10" x14ac:dyDescent="0.25">
      <c r="B8" s="69" t="s">
        <v>59</v>
      </c>
      <c r="C8" s="69"/>
      <c r="D8" s="69"/>
      <c r="E8" s="69"/>
      <c r="F8" s="69"/>
    </row>
    <row r="9" spans="2:10" x14ac:dyDescent="0.25">
      <c r="B9" s="63" t="s">
        <v>53</v>
      </c>
      <c r="C9" s="63"/>
      <c r="D9" s="63"/>
      <c r="E9" s="4">
        <v>1752</v>
      </c>
      <c r="F9" s="8" t="s">
        <v>1</v>
      </c>
    </row>
    <row r="10" spans="2:10" x14ac:dyDescent="0.25">
      <c r="B10" s="63" t="s">
        <v>54</v>
      </c>
      <c r="C10" s="63"/>
      <c r="D10" s="63"/>
      <c r="E10" s="4">
        <v>705.25</v>
      </c>
      <c r="F10" s="8" t="s">
        <v>5</v>
      </c>
    </row>
    <row r="11" spans="2:10" x14ac:dyDescent="0.25">
      <c r="B11" s="63" t="s">
        <v>55</v>
      </c>
      <c r="C11" s="63"/>
      <c r="D11" s="63"/>
      <c r="E11" s="4">
        <v>701.72</v>
      </c>
      <c r="F11" s="8" t="s">
        <v>5</v>
      </c>
    </row>
    <row r="12" spans="2:10" x14ac:dyDescent="0.25">
      <c r="B12" s="63" t="s">
        <v>56</v>
      </c>
      <c r="C12" s="63"/>
      <c r="D12" s="63"/>
      <c r="E12" s="4">
        <v>58</v>
      </c>
      <c r="F12" s="8" t="s">
        <v>3</v>
      </c>
    </row>
    <row r="13" spans="2:10" x14ac:dyDescent="0.25">
      <c r="B13" s="63" t="s">
        <v>57</v>
      </c>
      <c r="C13" s="63"/>
      <c r="D13" s="63"/>
      <c r="E13" s="4">
        <v>60</v>
      </c>
      <c r="F13" s="8" t="s">
        <v>3</v>
      </c>
    </row>
    <row r="14" spans="2:10" x14ac:dyDescent="0.25">
      <c r="B14" s="63" t="s">
        <v>58</v>
      </c>
      <c r="C14" s="63"/>
      <c r="D14" s="63"/>
      <c r="E14" s="4">
        <v>12</v>
      </c>
      <c r="F14" s="8" t="s">
        <v>9</v>
      </c>
    </row>
    <row r="17" spans="2:33" ht="30.75" customHeight="1" x14ac:dyDescent="0.25">
      <c r="B17" s="73" t="s">
        <v>48</v>
      </c>
      <c r="C17" s="73"/>
      <c r="D17" s="73"/>
      <c r="E17" s="73"/>
      <c r="F17" s="73"/>
      <c r="H17" s="65" t="s">
        <v>65</v>
      </c>
      <c r="I17" s="66"/>
    </row>
    <row r="18" spans="2:33" x14ac:dyDescent="0.25">
      <c r="B18" s="5" t="s">
        <v>36</v>
      </c>
      <c r="C18" s="5" t="s">
        <v>37</v>
      </c>
      <c r="D18" s="5" t="s">
        <v>46</v>
      </c>
      <c r="E18" s="5" t="s">
        <v>47</v>
      </c>
      <c r="F18" s="5" t="s">
        <v>99</v>
      </c>
      <c r="H18" s="67"/>
      <c r="I18" s="68"/>
      <c r="J18" s="13"/>
    </row>
    <row r="19" spans="2:33" x14ac:dyDescent="0.25">
      <c r="B19" s="5" t="s">
        <v>38</v>
      </c>
      <c r="C19" s="4"/>
      <c r="D19" s="4"/>
      <c r="E19" s="4"/>
      <c r="F19" s="4">
        <f>SUM(C19:E19)</f>
        <v>0</v>
      </c>
      <c r="H19" s="9" t="s">
        <v>38</v>
      </c>
      <c r="I19" s="4" t="e">
        <f>(150*C19+130*D19+140*E19)/SUM(C19:E19)</f>
        <v>#DIV/0!</v>
      </c>
      <c r="J19" s="12"/>
    </row>
    <row r="20" spans="2:33" x14ac:dyDescent="0.25">
      <c r="B20" s="5" t="s">
        <v>39</v>
      </c>
      <c r="C20" s="4">
        <v>0</v>
      </c>
      <c r="D20" s="4"/>
      <c r="E20" s="4"/>
      <c r="F20" s="4">
        <f t="shared" ref="F20:F26" si="0">SUM(C20:E20)</f>
        <v>0</v>
      </c>
      <c r="H20" s="9" t="s">
        <v>39</v>
      </c>
      <c r="I20" s="4" t="e">
        <f>(150*C20+130*D20+140*E20)/SUM(C20:E20)</f>
        <v>#DIV/0!</v>
      </c>
      <c r="J20" s="12"/>
    </row>
    <row r="21" spans="2:33" x14ac:dyDescent="0.25">
      <c r="B21" s="5" t="s">
        <v>40</v>
      </c>
      <c r="C21" s="4">
        <v>100</v>
      </c>
      <c r="D21" s="4">
        <v>200</v>
      </c>
      <c r="E21" s="4"/>
      <c r="F21" s="4">
        <f t="shared" si="0"/>
        <v>300</v>
      </c>
      <c r="H21" s="9" t="s">
        <v>40</v>
      </c>
      <c r="I21" s="4">
        <f t="shared" ref="I21:I26" si="1">(150*C21+130*D21+140*E21)/SUM(C21:E21)</f>
        <v>136.66666666666666</v>
      </c>
      <c r="J21" s="12"/>
    </row>
    <row r="22" spans="2:33" x14ac:dyDescent="0.25">
      <c r="B22" s="5" t="s">
        <v>41</v>
      </c>
      <c r="C22" s="4"/>
      <c r="D22" s="4"/>
      <c r="E22" s="4"/>
      <c r="F22" s="4">
        <f t="shared" si="0"/>
        <v>0</v>
      </c>
      <c r="H22" s="9" t="s">
        <v>41</v>
      </c>
      <c r="I22" s="4" t="e">
        <f t="shared" si="1"/>
        <v>#DIV/0!</v>
      </c>
    </row>
    <row r="23" spans="2:33" x14ac:dyDescent="0.25">
      <c r="B23" s="5" t="s">
        <v>42</v>
      </c>
      <c r="C23" s="4">
        <v>100</v>
      </c>
      <c r="D23" s="4"/>
      <c r="E23" s="4"/>
      <c r="F23" s="4">
        <f t="shared" si="0"/>
        <v>100</v>
      </c>
      <c r="H23" s="9" t="s">
        <v>42</v>
      </c>
      <c r="I23" s="4">
        <f t="shared" si="1"/>
        <v>150</v>
      </c>
    </row>
    <row r="24" spans="2:33" x14ac:dyDescent="0.25">
      <c r="B24" s="5" t="s">
        <v>43</v>
      </c>
      <c r="C24" s="4"/>
      <c r="D24" s="4"/>
      <c r="E24" s="4"/>
      <c r="F24" s="4">
        <f t="shared" si="0"/>
        <v>0</v>
      </c>
      <c r="H24" s="9" t="s">
        <v>43</v>
      </c>
      <c r="I24" s="4" t="e">
        <f t="shared" si="1"/>
        <v>#DIV/0!</v>
      </c>
    </row>
    <row r="25" spans="2:33" x14ac:dyDescent="0.25">
      <c r="B25" s="5" t="s">
        <v>44</v>
      </c>
      <c r="C25" s="4"/>
      <c r="D25" s="4"/>
      <c r="E25" s="4"/>
      <c r="F25" s="4">
        <f t="shared" si="0"/>
        <v>0</v>
      </c>
      <c r="H25" s="9" t="s">
        <v>44</v>
      </c>
      <c r="I25" s="4" t="e">
        <f t="shared" si="1"/>
        <v>#DIV/0!</v>
      </c>
    </row>
    <row r="26" spans="2:33" x14ac:dyDescent="0.25">
      <c r="B26" s="5" t="s">
        <v>45</v>
      </c>
      <c r="C26" s="4">
        <v>500</v>
      </c>
      <c r="D26" s="4"/>
      <c r="E26" s="4"/>
      <c r="F26" s="4">
        <f t="shared" si="0"/>
        <v>500</v>
      </c>
      <c r="H26" s="9" t="s">
        <v>45</v>
      </c>
      <c r="I26" s="4">
        <f t="shared" si="1"/>
        <v>150</v>
      </c>
    </row>
    <row r="29" spans="2:33" x14ac:dyDescent="0.25">
      <c r="B29" s="70" t="s">
        <v>67</v>
      </c>
      <c r="C29" s="70"/>
      <c r="D29" s="70"/>
      <c r="E29" s="70"/>
      <c r="F29" s="70"/>
      <c r="G29" s="70"/>
      <c r="H29" s="70"/>
      <c r="I29" s="70"/>
      <c r="J29" s="70"/>
      <c r="K29" s="70"/>
      <c r="M29" s="64" t="s">
        <v>81</v>
      </c>
      <c r="N29" s="64"/>
      <c r="O29" s="64"/>
      <c r="P29" s="64"/>
      <c r="Q29" s="64"/>
      <c r="R29" s="64"/>
      <c r="S29" s="64"/>
      <c r="T29" s="64"/>
      <c r="U29" s="64"/>
      <c r="V29" s="64"/>
      <c r="X29" s="64" t="s">
        <v>98</v>
      </c>
      <c r="Y29" s="64"/>
      <c r="Z29" s="64"/>
      <c r="AA29" s="64"/>
      <c r="AB29" s="64"/>
      <c r="AC29" s="64"/>
      <c r="AD29" s="64"/>
      <c r="AE29" s="64"/>
      <c r="AF29" s="64"/>
      <c r="AG29" s="64"/>
    </row>
    <row r="30" spans="2:33" x14ac:dyDescent="0.25">
      <c r="B30" s="70" t="s">
        <v>68</v>
      </c>
      <c r="C30" s="70"/>
      <c r="D30" s="15">
        <v>2</v>
      </c>
      <c r="E30" s="15">
        <v>4</v>
      </c>
      <c r="F30" s="15">
        <v>6</v>
      </c>
      <c r="G30" s="15">
        <v>8</v>
      </c>
      <c r="H30" s="15">
        <v>10</v>
      </c>
      <c r="I30" s="15">
        <v>12</v>
      </c>
      <c r="J30" s="15">
        <v>14</v>
      </c>
      <c r="K30" s="15">
        <v>16</v>
      </c>
      <c r="M30" s="64" t="s">
        <v>68</v>
      </c>
      <c r="N30" s="64"/>
      <c r="O30" s="9">
        <v>2</v>
      </c>
      <c r="P30" s="9">
        <v>4</v>
      </c>
      <c r="Q30" s="9">
        <v>6</v>
      </c>
      <c r="R30" s="9">
        <v>8</v>
      </c>
      <c r="S30" s="9">
        <v>10</v>
      </c>
      <c r="T30" s="9">
        <v>12</v>
      </c>
      <c r="U30" s="9">
        <v>14</v>
      </c>
      <c r="V30" s="9">
        <v>16</v>
      </c>
      <c r="X30" s="64" t="s">
        <v>68</v>
      </c>
      <c r="Y30" s="64"/>
      <c r="Z30" s="9">
        <v>2</v>
      </c>
      <c r="AA30" s="9">
        <v>4</v>
      </c>
      <c r="AB30" s="9">
        <v>6</v>
      </c>
      <c r="AC30" s="9">
        <v>8</v>
      </c>
      <c r="AD30" s="9">
        <v>10</v>
      </c>
      <c r="AE30" s="9">
        <v>12</v>
      </c>
      <c r="AF30" s="9">
        <v>14</v>
      </c>
      <c r="AG30" s="9">
        <v>16</v>
      </c>
    </row>
    <row r="31" spans="2:33" x14ac:dyDescent="0.25">
      <c r="B31" s="70" t="s">
        <v>69</v>
      </c>
      <c r="C31" s="70"/>
      <c r="D31" s="4"/>
      <c r="E31" s="4"/>
      <c r="F31" s="4"/>
      <c r="G31" s="4"/>
      <c r="H31" s="4"/>
      <c r="I31" s="4"/>
      <c r="J31" s="4"/>
      <c r="K31" s="4"/>
      <c r="M31" s="64" t="s">
        <v>69</v>
      </c>
      <c r="N31" s="64"/>
      <c r="O31" s="4">
        <v>3.1</v>
      </c>
      <c r="P31" s="4">
        <v>4.8</v>
      </c>
      <c r="Q31" s="4">
        <v>7.2</v>
      </c>
      <c r="R31" s="4">
        <v>9.8000000000000007</v>
      </c>
      <c r="S31" s="4">
        <v>12</v>
      </c>
      <c r="T31" s="4">
        <v>15</v>
      </c>
      <c r="U31" s="4">
        <v>17</v>
      </c>
      <c r="V31" s="4">
        <v>19</v>
      </c>
      <c r="X31" s="64" t="s">
        <v>69</v>
      </c>
      <c r="Y31" s="64"/>
      <c r="Z31" s="4">
        <f>D31*O31</f>
        <v>0</v>
      </c>
      <c r="AA31" s="4">
        <f t="shared" ref="AA31:AG31" si="2">E31*P31</f>
        <v>0</v>
      </c>
      <c r="AB31" s="4">
        <f t="shared" si="2"/>
        <v>0</v>
      </c>
      <c r="AC31" s="4">
        <f t="shared" si="2"/>
        <v>0</v>
      </c>
      <c r="AD31" s="4">
        <f t="shared" si="2"/>
        <v>0</v>
      </c>
      <c r="AE31" s="4">
        <f t="shared" si="2"/>
        <v>0</v>
      </c>
      <c r="AF31" s="4">
        <f t="shared" si="2"/>
        <v>0</v>
      </c>
      <c r="AG31" s="4">
        <f t="shared" si="2"/>
        <v>0</v>
      </c>
    </row>
    <row r="32" spans="2:33" x14ac:dyDescent="0.25">
      <c r="B32" s="70" t="s">
        <v>70</v>
      </c>
      <c r="C32" s="70"/>
      <c r="D32" s="4"/>
      <c r="E32" s="4"/>
      <c r="F32" s="4"/>
      <c r="G32" s="4"/>
      <c r="H32" s="4">
        <v>1</v>
      </c>
      <c r="I32" s="4"/>
      <c r="J32" s="4"/>
      <c r="K32" s="4">
        <v>2</v>
      </c>
      <c r="M32" s="64" t="s">
        <v>70</v>
      </c>
      <c r="N32" s="64"/>
      <c r="O32" s="4">
        <v>2.7</v>
      </c>
      <c r="P32" s="4">
        <v>3.4</v>
      </c>
      <c r="Q32" s="4">
        <v>4.7</v>
      </c>
      <c r="R32" s="4">
        <v>5.7</v>
      </c>
      <c r="S32" s="4">
        <v>6.8</v>
      </c>
      <c r="T32" s="4">
        <v>7.8</v>
      </c>
      <c r="U32" s="4">
        <v>8.6</v>
      </c>
      <c r="V32" s="4">
        <v>9.6</v>
      </c>
      <c r="X32" s="64" t="s">
        <v>70</v>
      </c>
      <c r="Y32" s="64"/>
      <c r="Z32" s="4">
        <f t="shared" ref="Z32:Z45" si="3">D32*O32</f>
        <v>0</v>
      </c>
      <c r="AA32" s="4">
        <f t="shared" ref="AA32:AA45" si="4">E32*P32</f>
        <v>0</v>
      </c>
      <c r="AB32" s="4">
        <f t="shared" ref="AB32:AB45" si="5">F32*Q32</f>
        <v>0</v>
      </c>
      <c r="AC32" s="4">
        <f t="shared" ref="AC32:AC45" si="6">G32*R32</f>
        <v>0</v>
      </c>
      <c r="AD32" s="4">
        <f t="shared" ref="AD32:AD45" si="7">H32*S32</f>
        <v>6.8</v>
      </c>
      <c r="AE32" s="4">
        <f t="shared" ref="AE32:AE45" si="8">I32*T32</f>
        <v>0</v>
      </c>
      <c r="AF32" s="4">
        <f t="shared" ref="AF32:AF45" si="9">J32*U32</f>
        <v>0</v>
      </c>
      <c r="AG32" s="4">
        <f t="shared" ref="AG32:AG45" si="10">K32*V32</f>
        <v>19.2</v>
      </c>
    </row>
    <row r="33" spans="2:33" x14ac:dyDescent="0.25">
      <c r="B33" s="70" t="s">
        <v>71</v>
      </c>
      <c r="C33" s="70"/>
      <c r="D33" s="4"/>
      <c r="E33" s="4"/>
      <c r="F33" s="4"/>
      <c r="G33" s="4"/>
      <c r="H33" s="4"/>
      <c r="I33" s="4"/>
      <c r="J33" s="4"/>
      <c r="K33" s="4"/>
      <c r="M33" s="64" t="s">
        <v>71</v>
      </c>
      <c r="N33" s="64"/>
      <c r="O33" s="4">
        <v>1.7</v>
      </c>
      <c r="P33" s="4">
        <v>2.9</v>
      </c>
      <c r="Q33" s="4">
        <v>4.5</v>
      </c>
      <c r="R33" s="4">
        <v>6.3</v>
      </c>
      <c r="S33" s="4">
        <v>8.1</v>
      </c>
      <c r="T33" s="4">
        <v>9.6999999999999993</v>
      </c>
      <c r="U33" s="4">
        <v>12</v>
      </c>
      <c r="V33" s="4">
        <v>13</v>
      </c>
      <c r="X33" s="64" t="s">
        <v>71</v>
      </c>
      <c r="Y33" s="64"/>
      <c r="Z33" s="4">
        <f t="shared" si="3"/>
        <v>0</v>
      </c>
      <c r="AA33" s="4">
        <f t="shared" si="4"/>
        <v>0</v>
      </c>
      <c r="AB33" s="4">
        <f t="shared" si="5"/>
        <v>0</v>
      </c>
      <c r="AC33" s="4">
        <f t="shared" si="6"/>
        <v>0</v>
      </c>
      <c r="AD33" s="4">
        <f t="shared" si="7"/>
        <v>0</v>
      </c>
      <c r="AE33" s="4">
        <f t="shared" si="8"/>
        <v>0</v>
      </c>
      <c r="AF33" s="4">
        <f t="shared" si="9"/>
        <v>0</v>
      </c>
      <c r="AG33" s="4">
        <f t="shared" si="10"/>
        <v>0</v>
      </c>
    </row>
    <row r="34" spans="2:33" x14ac:dyDescent="0.25">
      <c r="B34" s="70" t="s">
        <v>72</v>
      </c>
      <c r="C34" s="70"/>
      <c r="D34" s="4"/>
      <c r="E34" s="4"/>
      <c r="F34" s="4">
        <v>1</v>
      </c>
      <c r="G34" s="4"/>
      <c r="H34" s="4"/>
      <c r="I34" s="4"/>
      <c r="J34" s="4"/>
      <c r="K34" s="4"/>
      <c r="M34" s="64" t="s">
        <v>72</v>
      </c>
      <c r="N34" s="64"/>
      <c r="O34" s="4">
        <v>1.8</v>
      </c>
      <c r="P34" s="4">
        <v>2.2000000000000002</v>
      </c>
      <c r="Q34" s="4">
        <v>3.1</v>
      </c>
      <c r="R34" s="4">
        <v>3.9</v>
      </c>
      <c r="S34" s="4">
        <v>4.5999999999999996</v>
      </c>
      <c r="T34" s="4">
        <v>5.2</v>
      </c>
      <c r="U34" s="4">
        <v>5.9</v>
      </c>
      <c r="V34" s="4">
        <v>6.5</v>
      </c>
      <c r="X34" s="64" t="s">
        <v>72</v>
      </c>
      <c r="Y34" s="64"/>
      <c r="Z34" s="4">
        <f t="shared" si="3"/>
        <v>0</v>
      </c>
      <c r="AA34" s="4">
        <f t="shared" si="4"/>
        <v>0</v>
      </c>
      <c r="AB34" s="4">
        <f t="shared" si="5"/>
        <v>3.1</v>
      </c>
      <c r="AC34" s="4">
        <f t="shared" si="6"/>
        <v>0</v>
      </c>
      <c r="AD34" s="4">
        <f t="shared" si="7"/>
        <v>0</v>
      </c>
      <c r="AE34" s="4">
        <f t="shared" si="8"/>
        <v>0</v>
      </c>
      <c r="AF34" s="4">
        <f t="shared" si="9"/>
        <v>0</v>
      </c>
      <c r="AG34" s="4">
        <f t="shared" si="10"/>
        <v>0</v>
      </c>
    </row>
    <row r="35" spans="2:33" x14ac:dyDescent="0.25">
      <c r="B35" s="70" t="s">
        <v>73</v>
      </c>
      <c r="C35" s="70"/>
      <c r="D35" s="4"/>
      <c r="E35" s="4"/>
      <c r="F35" s="4">
        <v>2</v>
      </c>
      <c r="G35" s="4"/>
      <c r="H35" s="4">
        <v>3</v>
      </c>
      <c r="I35" s="4"/>
      <c r="J35" s="4"/>
      <c r="K35" s="4"/>
      <c r="M35" s="64" t="s">
        <v>73</v>
      </c>
      <c r="N35" s="64"/>
      <c r="O35" s="4">
        <v>6.6</v>
      </c>
      <c r="P35" s="4">
        <v>10</v>
      </c>
      <c r="Q35" s="4">
        <v>15</v>
      </c>
      <c r="R35" s="4">
        <v>20</v>
      </c>
      <c r="S35" s="4">
        <v>25</v>
      </c>
      <c r="T35" s="4">
        <v>30</v>
      </c>
      <c r="U35" s="4">
        <v>35</v>
      </c>
      <c r="V35" s="4">
        <v>39</v>
      </c>
      <c r="X35" s="64" t="s">
        <v>73</v>
      </c>
      <c r="Y35" s="64"/>
      <c r="Z35" s="4">
        <f t="shared" si="3"/>
        <v>0</v>
      </c>
      <c r="AA35" s="4">
        <f t="shared" si="4"/>
        <v>0</v>
      </c>
      <c r="AB35" s="4">
        <f t="shared" si="5"/>
        <v>30</v>
      </c>
      <c r="AC35" s="4">
        <f t="shared" si="6"/>
        <v>0</v>
      </c>
      <c r="AD35" s="4">
        <f t="shared" si="7"/>
        <v>75</v>
      </c>
      <c r="AE35" s="4">
        <f t="shared" si="8"/>
        <v>0</v>
      </c>
      <c r="AF35" s="4">
        <f t="shared" si="9"/>
        <v>0</v>
      </c>
      <c r="AG35" s="4">
        <f t="shared" si="10"/>
        <v>0</v>
      </c>
    </row>
    <row r="36" spans="2:33" x14ac:dyDescent="0.25">
      <c r="B36" s="70" t="s">
        <v>82</v>
      </c>
      <c r="C36" s="70"/>
      <c r="D36" s="4"/>
      <c r="E36" s="4"/>
      <c r="F36" s="4"/>
      <c r="G36" s="4"/>
      <c r="H36" s="4"/>
      <c r="I36" s="4"/>
      <c r="J36" s="4"/>
      <c r="K36" s="4"/>
      <c r="M36" s="64" t="s">
        <v>82</v>
      </c>
      <c r="N36" s="64"/>
      <c r="O36" s="4">
        <v>3.1</v>
      </c>
      <c r="P36" s="4">
        <v>4.8</v>
      </c>
      <c r="Q36" s="4">
        <v>7.2</v>
      </c>
      <c r="R36" s="4">
        <v>9.8000000000000007</v>
      </c>
      <c r="S36" s="4">
        <v>12</v>
      </c>
      <c r="T36" s="4">
        <v>15</v>
      </c>
      <c r="U36" s="4">
        <v>17</v>
      </c>
      <c r="V36" s="4">
        <v>19</v>
      </c>
      <c r="X36" s="64" t="s">
        <v>82</v>
      </c>
      <c r="Y36" s="64"/>
      <c r="Z36" s="4">
        <f t="shared" si="3"/>
        <v>0</v>
      </c>
      <c r="AA36" s="4">
        <f t="shared" si="4"/>
        <v>0</v>
      </c>
      <c r="AB36" s="4">
        <f t="shared" si="5"/>
        <v>0</v>
      </c>
      <c r="AC36" s="4">
        <f t="shared" si="6"/>
        <v>0</v>
      </c>
      <c r="AD36" s="4">
        <f t="shared" si="7"/>
        <v>0</v>
      </c>
      <c r="AE36" s="4">
        <f t="shared" si="8"/>
        <v>0</v>
      </c>
      <c r="AF36" s="4">
        <f t="shared" si="9"/>
        <v>0</v>
      </c>
      <c r="AG36" s="4">
        <f t="shared" si="10"/>
        <v>0</v>
      </c>
    </row>
    <row r="37" spans="2:33" x14ac:dyDescent="0.25">
      <c r="B37" s="70" t="s">
        <v>83</v>
      </c>
      <c r="C37" s="70"/>
      <c r="D37" s="4"/>
      <c r="E37" s="4"/>
      <c r="F37" s="4"/>
      <c r="G37" s="4"/>
      <c r="H37" s="4"/>
      <c r="I37" s="4"/>
      <c r="J37" s="4"/>
      <c r="K37" s="4"/>
      <c r="M37" s="64" t="s">
        <v>83</v>
      </c>
      <c r="N37" s="64"/>
      <c r="O37" s="4">
        <v>27</v>
      </c>
      <c r="P37" s="4">
        <v>3.4</v>
      </c>
      <c r="Q37" s="4">
        <v>4.7</v>
      </c>
      <c r="R37" s="4">
        <v>5.7</v>
      </c>
      <c r="S37" s="4">
        <v>6.8</v>
      </c>
      <c r="T37" s="4">
        <v>7.8</v>
      </c>
      <c r="U37" s="4">
        <v>8.6</v>
      </c>
      <c r="V37" s="4">
        <v>9.6</v>
      </c>
      <c r="X37" s="64" t="s">
        <v>83</v>
      </c>
      <c r="Y37" s="64"/>
      <c r="Z37" s="4">
        <f t="shared" si="3"/>
        <v>0</v>
      </c>
      <c r="AA37" s="4">
        <f t="shared" si="4"/>
        <v>0</v>
      </c>
      <c r="AB37" s="4">
        <f t="shared" si="5"/>
        <v>0</v>
      </c>
      <c r="AC37" s="4">
        <f t="shared" si="6"/>
        <v>0</v>
      </c>
      <c r="AD37" s="4">
        <f t="shared" si="7"/>
        <v>0</v>
      </c>
      <c r="AE37" s="4">
        <f t="shared" si="8"/>
        <v>0</v>
      </c>
      <c r="AF37" s="4">
        <f t="shared" si="9"/>
        <v>0</v>
      </c>
      <c r="AG37" s="4">
        <f t="shared" si="10"/>
        <v>0</v>
      </c>
    </row>
    <row r="38" spans="2:33" x14ac:dyDescent="0.25">
      <c r="B38" s="70" t="s">
        <v>74</v>
      </c>
      <c r="C38" s="70"/>
      <c r="D38" s="4"/>
      <c r="E38" s="4"/>
      <c r="F38" s="4"/>
      <c r="G38" s="4"/>
      <c r="H38" s="4"/>
      <c r="I38" s="4"/>
      <c r="J38" s="4"/>
      <c r="K38" s="4"/>
      <c r="M38" s="64" t="s">
        <v>74</v>
      </c>
      <c r="N38" s="64"/>
      <c r="O38" s="4">
        <v>70</v>
      </c>
      <c r="P38" s="4">
        <v>99</v>
      </c>
      <c r="Q38" s="4">
        <v>150</v>
      </c>
      <c r="R38" s="4">
        <v>210</v>
      </c>
      <c r="S38" s="4">
        <v>270</v>
      </c>
      <c r="T38" s="4">
        <v>330</v>
      </c>
      <c r="U38" s="4" t="s">
        <v>85</v>
      </c>
      <c r="V38" s="4" t="s">
        <v>85</v>
      </c>
      <c r="X38" s="64" t="s">
        <v>74</v>
      </c>
      <c r="Y38" s="64"/>
      <c r="Z38" s="4">
        <f t="shared" si="3"/>
        <v>0</v>
      </c>
      <c r="AA38" s="4">
        <f t="shared" si="4"/>
        <v>0</v>
      </c>
      <c r="AB38" s="4">
        <f t="shared" si="5"/>
        <v>0</v>
      </c>
      <c r="AC38" s="4">
        <f t="shared" si="6"/>
        <v>0</v>
      </c>
      <c r="AD38" s="4">
        <f t="shared" si="7"/>
        <v>0</v>
      </c>
      <c r="AE38" s="4">
        <f t="shared" si="8"/>
        <v>0</v>
      </c>
      <c r="AF38" s="4">
        <v>0</v>
      </c>
      <c r="AG38" s="4">
        <v>0</v>
      </c>
    </row>
    <row r="39" spans="2:33" x14ac:dyDescent="0.25">
      <c r="B39" s="70" t="s">
        <v>75</v>
      </c>
      <c r="C39" s="70"/>
      <c r="D39" s="4"/>
      <c r="E39" s="4"/>
      <c r="F39" s="4">
        <v>2</v>
      </c>
      <c r="G39" s="4"/>
      <c r="H39" s="4"/>
      <c r="I39" s="4"/>
      <c r="J39" s="4"/>
      <c r="K39" s="4">
        <v>2</v>
      </c>
      <c r="M39" s="64" t="s">
        <v>75</v>
      </c>
      <c r="N39" s="64"/>
      <c r="O39" s="4">
        <v>2.6</v>
      </c>
      <c r="P39" s="4">
        <v>2.4</v>
      </c>
      <c r="Q39" s="4">
        <v>2.6</v>
      </c>
      <c r="R39" s="4">
        <v>2.7</v>
      </c>
      <c r="S39" s="4">
        <v>2.8</v>
      </c>
      <c r="T39" s="4">
        <v>2.9</v>
      </c>
      <c r="U39" s="4">
        <v>2.9</v>
      </c>
      <c r="V39" s="4">
        <v>3</v>
      </c>
      <c r="X39" s="64" t="s">
        <v>75</v>
      </c>
      <c r="Y39" s="64"/>
      <c r="Z39" s="4">
        <f t="shared" si="3"/>
        <v>0</v>
      </c>
      <c r="AA39" s="4">
        <f t="shared" si="4"/>
        <v>0</v>
      </c>
      <c r="AB39" s="4">
        <f t="shared" si="5"/>
        <v>5.2</v>
      </c>
      <c r="AC39" s="4">
        <f t="shared" si="6"/>
        <v>0</v>
      </c>
      <c r="AD39" s="4">
        <f t="shared" si="7"/>
        <v>0</v>
      </c>
      <c r="AE39" s="4">
        <f t="shared" si="8"/>
        <v>0</v>
      </c>
      <c r="AF39" s="4">
        <f t="shared" si="9"/>
        <v>0</v>
      </c>
      <c r="AG39" s="4">
        <f t="shared" si="10"/>
        <v>6</v>
      </c>
    </row>
    <row r="40" spans="2:33" x14ac:dyDescent="0.25">
      <c r="B40" s="70" t="s">
        <v>76</v>
      </c>
      <c r="C40" s="70"/>
      <c r="D40" s="4"/>
      <c r="E40" s="4"/>
      <c r="F40" s="4"/>
      <c r="G40" s="4"/>
      <c r="H40" s="4"/>
      <c r="I40" s="4"/>
      <c r="J40" s="4"/>
      <c r="K40" s="4"/>
      <c r="M40" s="64" t="s">
        <v>76</v>
      </c>
      <c r="N40" s="64"/>
      <c r="O40" s="4">
        <v>21</v>
      </c>
      <c r="P40" s="4">
        <v>31</v>
      </c>
      <c r="Q40" s="4">
        <v>52</v>
      </c>
      <c r="R40" s="4">
        <v>74</v>
      </c>
      <c r="S40" s="4">
        <v>98</v>
      </c>
      <c r="T40" s="4">
        <v>120</v>
      </c>
      <c r="U40" s="4">
        <v>150</v>
      </c>
      <c r="V40" s="4">
        <v>170</v>
      </c>
      <c r="X40" s="64" t="s">
        <v>76</v>
      </c>
      <c r="Y40" s="64"/>
      <c r="Z40" s="4">
        <f t="shared" si="3"/>
        <v>0</v>
      </c>
      <c r="AA40" s="4">
        <f t="shared" si="4"/>
        <v>0</v>
      </c>
      <c r="AB40" s="4">
        <f t="shared" si="5"/>
        <v>0</v>
      </c>
      <c r="AC40" s="4">
        <f t="shared" si="6"/>
        <v>0</v>
      </c>
      <c r="AD40" s="4">
        <f t="shared" si="7"/>
        <v>0</v>
      </c>
      <c r="AE40" s="4">
        <f t="shared" si="8"/>
        <v>0</v>
      </c>
      <c r="AF40" s="4">
        <f t="shared" si="9"/>
        <v>0</v>
      </c>
      <c r="AG40" s="4">
        <f t="shared" si="10"/>
        <v>0</v>
      </c>
    </row>
    <row r="41" spans="2:33" x14ac:dyDescent="0.25">
      <c r="B41" s="70" t="s">
        <v>77</v>
      </c>
      <c r="C41" s="70"/>
      <c r="D41" s="4"/>
      <c r="E41" s="4"/>
      <c r="F41" s="4">
        <v>1</v>
      </c>
      <c r="G41" s="4"/>
      <c r="H41" s="4"/>
      <c r="I41" s="4"/>
      <c r="J41" s="4"/>
      <c r="K41" s="4"/>
      <c r="M41" s="64" t="s">
        <v>77</v>
      </c>
      <c r="N41" s="64"/>
      <c r="O41" s="4">
        <v>17</v>
      </c>
      <c r="P41" s="4">
        <v>31</v>
      </c>
      <c r="Q41" s="4">
        <v>52</v>
      </c>
      <c r="R41" s="4">
        <v>74</v>
      </c>
      <c r="S41" s="4">
        <v>98</v>
      </c>
      <c r="T41" s="4">
        <v>120</v>
      </c>
      <c r="U41" s="4" t="s">
        <v>85</v>
      </c>
      <c r="V41" s="4" t="s">
        <v>85</v>
      </c>
      <c r="X41" s="64" t="s">
        <v>77</v>
      </c>
      <c r="Y41" s="64"/>
      <c r="Z41" s="4">
        <f t="shared" si="3"/>
        <v>0</v>
      </c>
      <c r="AA41" s="4">
        <f t="shared" si="4"/>
        <v>0</v>
      </c>
      <c r="AB41" s="4">
        <f t="shared" si="5"/>
        <v>52</v>
      </c>
      <c r="AC41" s="4">
        <f t="shared" si="6"/>
        <v>0</v>
      </c>
      <c r="AD41" s="4">
        <f t="shared" si="7"/>
        <v>0</v>
      </c>
      <c r="AE41" s="4">
        <f t="shared" si="8"/>
        <v>0</v>
      </c>
      <c r="AF41" s="4">
        <v>0</v>
      </c>
      <c r="AG41" s="4">
        <v>0</v>
      </c>
    </row>
    <row r="42" spans="2:33" x14ac:dyDescent="0.25">
      <c r="B42" s="70" t="s">
        <v>78</v>
      </c>
      <c r="C42" s="70"/>
      <c r="D42" s="4"/>
      <c r="E42" s="4"/>
      <c r="F42" s="4"/>
      <c r="G42" s="4"/>
      <c r="H42" s="4"/>
      <c r="I42" s="4"/>
      <c r="J42" s="4"/>
      <c r="K42" s="4"/>
      <c r="M42" s="64" t="s">
        <v>78</v>
      </c>
      <c r="N42" s="64"/>
      <c r="O42" s="4">
        <v>0.45</v>
      </c>
      <c r="P42" s="4">
        <v>0.52</v>
      </c>
      <c r="Q42" s="4" t="s">
        <v>85</v>
      </c>
      <c r="R42" s="4" t="s">
        <v>85</v>
      </c>
      <c r="S42" s="4" t="s">
        <v>85</v>
      </c>
      <c r="T42" s="4" t="s">
        <v>85</v>
      </c>
      <c r="U42" s="4" t="s">
        <v>85</v>
      </c>
      <c r="V42" s="4" t="s">
        <v>85</v>
      </c>
      <c r="X42" s="64" t="s">
        <v>78</v>
      </c>
      <c r="Y42" s="64"/>
      <c r="Z42" s="4">
        <f t="shared" si="3"/>
        <v>0</v>
      </c>
      <c r="AA42" s="4">
        <f t="shared" si="4"/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</row>
    <row r="43" spans="2:33" x14ac:dyDescent="0.25">
      <c r="B43" s="70" t="s">
        <v>79</v>
      </c>
      <c r="C43" s="70"/>
      <c r="D43" s="4"/>
      <c r="E43" s="4"/>
      <c r="F43" s="4"/>
      <c r="G43" s="4"/>
      <c r="H43" s="4"/>
      <c r="I43" s="4"/>
      <c r="J43" s="4"/>
      <c r="K43" s="4"/>
      <c r="M43" s="64" t="s">
        <v>79</v>
      </c>
      <c r="N43" s="64"/>
      <c r="O43" s="4">
        <v>0.43</v>
      </c>
      <c r="P43" s="4">
        <v>0.77</v>
      </c>
      <c r="Q43" s="4">
        <v>1.3</v>
      </c>
      <c r="R43" s="4">
        <v>1.9</v>
      </c>
      <c r="S43" s="4">
        <v>2.4</v>
      </c>
      <c r="T43" s="4">
        <v>3</v>
      </c>
      <c r="U43" s="4">
        <v>3.6</v>
      </c>
      <c r="V43" s="4">
        <v>4.3</v>
      </c>
      <c r="X43" s="64" t="s">
        <v>79</v>
      </c>
      <c r="Y43" s="64"/>
      <c r="Z43" s="4">
        <f t="shared" si="3"/>
        <v>0</v>
      </c>
      <c r="AA43" s="4">
        <f t="shared" si="4"/>
        <v>0</v>
      </c>
      <c r="AB43" s="4">
        <f t="shared" si="5"/>
        <v>0</v>
      </c>
      <c r="AC43" s="4">
        <f t="shared" si="6"/>
        <v>0</v>
      </c>
      <c r="AD43" s="4">
        <f t="shared" si="7"/>
        <v>0</v>
      </c>
      <c r="AE43" s="4">
        <f t="shared" si="8"/>
        <v>0</v>
      </c>
      <c r="AF43" s="4">
        <f t="shared" si="9"/>
        <v>0</v>
      </c>
      <c r="AG43" s="4">
        <f t="shared" si="10"/>
        <v>0</v>
      </c>
    </row>
    <row r="44" spans="2:33" x14ac:dyDescent="0.25">
      <c r="B44" s="70" t="s">
        <v>80</v>
      </c>
      <c r="C44" s="70"/>
      <c r="D44" s="4"/>
      <c r="E44" s="4"/>
      <c r="F44" s="4"/>
      <c r="G44" s="4"/>
      <c r="H44" s="4"/>
      <c r="I44" s="4"/>
      <c r="J44" s="4"/>
      <c r="K44" s="4"/>
      <c r="M44" s="64" t="s">
        <v>80</v>
      </c>
      <c r="N44" s="64"/>
      <c r="O44" s="4">
        <v>4.3</v>
      </c>
      <c r="P44" s="4">
        <v>7.7</v>
      </c>
      <c r="Q44" s="4">
        <v>13</v>
      </c>
      <c r="R44" s="4">
        <v>19</v>
      </c>
      <c r="S44" s="4">
        <v>24</v>
      </c>
      <c r="T44" s="4">
        <v>30</v>
      </c>
      <c r="U44" s="4">
        <v>36</v>
      </c>
      <c r="V44" s="4">
        <v>43</v>
      </c>
      <c r="X44" s="64" t="s">
        <v>80</v>
      </c>
      <c r="Y44" s="64"/>
      <c r="Z44" s="4">
        <f t="shared" si="3"/>
        <v>0</v>
      </c>
      <c r="AA44" s="4">
        <f t="shared" si="4"/>
        <v>0</v>
      </c>
      <c r="AB44" s="4">
        <f t="shared" si="5"/>
        <v>0</v>
      </c>
      <c r="AC44" s="4">
        <f t="shared" si="6"/>
        <v>0</v>
      </c>
      <c r="AD44" s="4">
        <f t="shared" si="7"/>
        <v>0</v>
      </c>
      <c r="AE44" s="4">
        <f t="shared" si="8"/>
        <v>0</v>
      </c>
      <c r="AF44" s="4">
        <f t="shared" si="9"/>
        <v>0</v>
      </c>
      <c r="AG44" s="4">
        <f t="shared" si="10"/>
        <v>0</v>
      </c>
    </row>
    <row r="45" spans="2:33" ht="15.75" thickBot="1" x14ac:dyDescent="0.3">
      <c r="B45" s="70" t="s">
        <v>84</v>
      </c>
      <c r="C45" s="70"/>
      <c r="D45" s="4"/>
      <c r="E45" s="4"/>
      <c r="F45" s="4"/>
      <c r="G45" s="4"/>
      <c r="H45" s="4"/>
      <c r="I45" s="4"/>
      <c r="J45" s="4"/>
      <c r="K45" s="4"/>
      <c r="M45" s="64" t="s">
        <v>84</v>
      </c>
      <c r="N45" s="64"/>
      <c r="O45" s="4">
        <v>8.5</v>
      </c>
      <c r="P45" s="4">
        <v>15</v>
      </c>
      <c r="Q45" s="4">
        <v>26</v>
      </c>
      <c r="R45" s="4">
        <v>37</v>
      </c>
      <c r="S45" s="4">
        <v>49</v>
      </c>
      <c r="T45" s="4">
        <v>61</v>
      </c>
      <c r="U45" s="4">
        <v>73</v>
      </c>
      <c r="V45" s="4">
        <v>86</v>
      </c>
      <c r="X45" s="74" t="s">
        <v>84</v>
      </c>
      <c r="Y45" s="74"/>
      <c r="Z45" s="16">
        <f t="shared" si="3"/>
        <v>0</v>
      </c>
      <c r="AA45" s="16">
        <f t="shared" si="4"/>
        <v>0</v>
      </c>
      <c r="AB45" s="16">
        <f t="shared" si="5"/>
        <v>0</v>
      </c>
      <c r="AC45" s="16">
        <f t="shared" si="6"/>
        <v>0</v>
      </c>
      <c r="AD45" s="16">
        <f t="shared" si="7"/>
        <v>0</v>
      </c>
      <c r="AE45" s="16">
        <f t="shared" si="8"/>
        <v>0</v>
      </c>
      <c r="AF45" s="16">
        <f t="shared" si="9"/>
        <v>0</v>
      </c>
      <c r="AG45" s="16">
        <f t="shared" si="10"/>
        <v>0</v>
      </c>
    </row>
    <row r="46" spans="2:33" ht="15.75" thickBot="1" x14ac:dyDescent="0.3">
      <c r="X46" s="71" t="s">
        <v>99</v>
      </c>
      <c r="Y46" s="72"/>
      <c r="Z46" s="19">
        <f>SUM(Z31:Z45)</f>
        <v>0</v>
      </c>
      <c r="AA46" s="17">
        <f t="shared" ref="AA46:AG46" si="11">SUM(AA31:AA45)</f>
        <v>0</v>
      </c>
      <c r="AB46" s="17">
        <f t="shared" si="11"/>
        <v>90.300000000000011</v>
      </c>
      <c r="AC46" s="17">
        <f t="shared" si="11"/>
        <v>0</v>
      </c>
      <c r="AD46" s="17">
        <f t="shared" si="11"/>
        <v>81.8</v>
      </c>
      <c r="AE46" s="17">
        <f t="shared" si="11"/>
        <v>0</v>
      </c>
      <c r="AF46" s="17">
        <f t="shared" si="11"/>
        <v>0</v>
      </c>
      <c r="AG46" s="18">
        <f t="shared" si="11"/>
        <v>25.2</v>
      </c>
    </row>
  </sheetData>
  <mergeCells count="69">
    <mergeCell ref="X46:Y46"/>
    <mergeCell ref="B17:F17"/>
    <mergeCell ref="X41:Y41"/>
    <mergeCell ref="X42:Y42"/>
    <mergeCell ref="X43:Y43"/>
    <mergeCell ref="X44:Y44"/>
    <mergeCell ref="X45:Y45"/>
    <mergeCell ref="B42:C42"/>
    <mergeCell ref="B43:C43"/>
    <mergeCell ref="B44:C44"/>
    <mergeCell ref="B45:C45"/>
    <mergeCell ref="X29:AG29"/>
    <mergeCell ref="X30:Y30"/>
    <mergeCell ref="X31:Y31"/>
    <mergeCell ref="X32:Y32"/>
    <mergeCell ref="X33:Y33"/>
    <mergeCell ref="X34:Y34"/>
    <mergeCell ref="X35:Y35"/>
    <mergeCell ref="X36:Y36"/>
    <mergeCell ref="X37:Y37"/>
    <mergeCell ref="X38:Y38"/>
    <mergeCell ref="X39:Y39"/>
    <mergeCell ref="X40:Y40"/>
    <mergeCell ref="M37:N37"/>
    <mergeCell ref="B29:K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M32:N32"/>
    <mergeCell ref="B41:C41"/>
    <mergeCell ref="M43:N43"/>
    <mergeCell ref="M44:N44"/>
    <mergeCell ref="M45:N45"/>
    <mergeCell ref="M38:N38"/>
    <mergeCell ref="M39:N39"/>
    <mergeCell ref="M40:N40"/>
    <mergeCell ref="M41:N41"/>
    <mergeCell ref="M42:N42"/>
    <mergeCell ref="M36:N36"/>
    <mergeCell ref="E6:J6"/>
    <mergeCell ref="H17:I18"/>
    <mergeCell ref="M31:N31"/>
    <mergeCell ref="M30:N30"/>
    <mergeCell ref="M29:V29"/>
    <mergeCell ref="B8:F8"/>
    <mergeCell ref="B10:D10"/>
    <mergeCell ref="B11:D11"/>
    <mergeCell ref="B12:D12"/>
    <mergeCell ref="B13:D13"/>
    <mergeCell ref="B14:D14"/>
    <mergeCell ref="B6:D6"/>
    <mergeCell ref="B9:D9"/>
    <mergeCell ref="M33:N33"/>
    <mergeCell ref="M34:N34"/>
    <mergeCell ref="M35:N35"/>
    <mergeCell ref="E3:J3"/>
    <mergeCell ref="E5:J5"/>
    <mergeCell ref="E4:J4"/>
    <mergeCell ref="B3:D3"/>
    <mergeCell ref="B4:D4"/>
    <mergeCell ref="B5:D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PRINT</vt:lpstr>
      <vt:lpstr>ENTER DATA HERE</vt:lpstr>
      <vt:lpstr>EIGHT</vt:lpstr>
      <vt:lpstr>FOUR</vt:lpstr>
      <vt:lpstr>FOURTEEN</vt:lpstr>
      <vt:lpstr>PartsUsed</vt:lpstr>
      <vt:lpstr>PipesUsed</vt:lpstr>
      <vt:lpstr>PRINT!Print_Area</vt:lpstr>
      <vt:lpstr>SIX</vt:lpstr>
      <vt:lpstr>SIXTEEN</vt:lpstr>
      <vt:lpstr>TEN</vt:lpstr>
      <vt:lpstr>TWELVE</vt:lpstr>
      <vt:lpstr>TWO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Peterson</dc:creator>
  <cp:lastModifiedBy>Jacob Peterson</cp:lastModifiedBy>
  <cp:lastPrinted>2015-12-18T17:22:46Z</cp:lastPrinted>
  <dcterms:created xsi:type="dcterms:W3CDTF">2015-12-16T21:31:08Z</dcterms:created>
  <dcterms:modified xsi:type="dcterms:W3CDTF">2015-12-24T17:39:16Z</dcterms:modified>
</cp:coreProperties>
</file>